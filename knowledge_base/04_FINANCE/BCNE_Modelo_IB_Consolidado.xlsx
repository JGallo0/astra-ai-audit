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strasolar-my.sharepoint.com/personal/joao_gallo_astrasolar_com_br/Documents/Documentos/Claude Projetos/"/>
    </mc:Choice>
  </mc:AlternateContent>
  <xr:revisionPtr revIDLastSave="10" documentId="11_25CD16EDF2FB7B08140077BFF5AACD9474FC8CF1" xr6:coauthVersionLast="47" xr6:coauthVersionMax="47" xr10:uidLastSave="{21D7AFC5-DADF-4665-8C7F-FAC49FAD2661}"/>
  <bookViews>
    <workbookView xWindow="-28920" yWindow="-1260" windowWidth="29040" windowHeight="15720" tabRatio="952" firstSheet="1" activeTab="3" xr2:uid="{00000000-000D-0000-FFFF-FFFF00000000}"/>
  </bookViews>
  <sheets>
    <sheet name="CAPA" sheetId="1" r:id="rId1"/>
    <sheet name="INDICADORES" sheetId="2" r:id="rId2"/>
    <sheet name="GLOSSÁRIO" sheetId="3" r:id="rId3"/>
    <sheet name="PREMISSAS" sheetId="4" r:id="rId4"/>
    <sheet name="CÁLCULO" sheetId="5" r:id="rId5"/>
    <sheet name="CAPEX" sheetId="6" r:id="rId6"/>
    <sheet name="RECEITA" sheetId="7" r:id="rId7"/>
    <sheet name="TRIBUTAÇÃO" sheetId="8" r:id="rId8"/>
    <sheet name="OPEX" sheetId="9" r:id="rId9"/>
    <sheet name="DRE_FCL" sheetId="10" r:id="rId10"/>
    <sheet name="ENERGIA" sheetId="11" r:id="rId11"/>
    <sheet name="ANALISE_CEMIG" sheetId="12" r:id="rId12"/>
    <sheet name="Serviços Astra Carbon" sheetId="13" r:id="rId13"/>
    <sheet name="SENSIBILIDADE" sheetId="14" r:id="rId14"/>
    <sheet name="CENÁRIOS" sheetId="15" r:id="rId15"/>
    <sheet name="Dashboard" sheetId="16" r:id="rId16"/>
    <sheet name="GraficosV8" sheetId="17" r:id="rId17"/>
  </sheets>
  <calcPr calcId="181029" forceFullCalc="1"/>
</workbook>
</file>

<file path=xl/calcChain.xml><?xml version="1.0" encoding="utf-8"?>
<calcChain xmlns="http://schemas.openxmlformats.org/spreadsheetml/2006/main">
  <c r="A57" i="16" l="1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H37" i="16"/>
  <c r="A37" i="16"/>
  <c r="A17" i="16"/>
  <c r="E16" i="16"/>
  <c r="A16" i="16"/>
  <c r="E15" i="16"/>
  <c r="A15" i="16"/>
  <c r="E14" i="16"/>
  <c r="A14" i="16"/>
  <c r="E13" i="16"/>
  <c r="A13" i="16"/>
  <c r="E12" i="16"/>
  <c r="A12" i="16"/>
  <c r="E11" i="16"/>
  <c r="A11" i="16"/>
  <c r="E10" i="16"/>
  <c r="A10" i="16"/>
  <c r="E9" i="16"/>
  <c r="A9" i="16"/>
  <c r="E8" i="16"/>
  <c r="A8" i="16"/>
  <c r="E7" i="16"/>
  <c r="A7" i="16"/>
  <c r="E6" i="16"/>
  <c r="A6" i="16"/>
  <c r="E11" i="15"/>
  <c r="E10" i="15"/>
  <c r="E8" i="15"/>
  <c r="E7" i="15"/>
  <c r="E6" i="15"/>
  <c r="D51" i="13"/>
  <c r="D33" i="13"/>
  <c r="D27" i="13"/>
  <c r="D19" i="13"/>
  <c r="D11" i="13"/>
  <c r="C67" i="11"/>
  <c r="C10" i="11"/>
  <c r="C6" i="11"/>
  <c r="Y17" i="10"/>
  <c r="E17" i="10"/>
  <c r="D46" i="9"/>
  <c r="G46" i="9" s="1"/>
  <c r="D45" i="9"/>
  <c r="G45" i="9" s="1"/>
  <c r="D44" i="9"/>
  <c r="G44" i="9" s="1"/>
  <c r="D43" i="9"/>
  <c r="G43" i="9" s="1"/>
  <c r="D42" i="9"/>
  <c r="G42" i="9" s="1"/>
  <c r="D41" i="9"/>
  <c r="G41" i="9" s="1"/>
  <c r="D40" i="9"/>
  <c r="G40" i="9" s="1"/>
  <c r="D39" i="9"/>
  <c r="G39" i="9" s="1"/>
  <c r="D38" i="9"/>
  <c r="G38" i="9" s="1"/>
  <c r="D37" i="9"/>
  <c r="G37" i="9" s="1"/>
  <c r="D36" i="9"/>
  <c r="G36" i="9" s="1"/>
  <c r="D35" i="9"/>
  <c r="G35" i="9" s="1"/>
  <c r="D34" i="9"/>
  <c r="G34" i="9" s="1"/>
  <c r="D33" i="9"/>
  <c r="G33" i="9" s="1"/>
  <c r="D32" i="9"/>
  <c r="G32" i="9" s="1"/>
  <c r="D31" i="9"/>
  <c r="G31" i="9" s="1"/>
  <c r="D30" i="9"/>
  <c r="G30" i="9" s="1"/>
  <c r="D29" i="9"/>
  <c r="G29" i="9" s="1"/>
  <c r="D28" i="9"/>
  <c r="G28" i="9" s="1"/>
  <c r="D27" i="9"/>
  <c r="G27" i="9" s="1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F16" i="16" s="1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F13" i="16" s="1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F11" i="16" s="1"/>
  <c r="E16" i="9"/>
  <c r="E5" i="9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E13" i="8"/>
  <c r="E11" i="8"/>
  <c r="E10" i="8"/>
  <c r="E5" i="8"/>
  <c r="E7" i="8" s="1"/>
  <c r="E4" i="8"/>
  <c r="C26" i="6"/>
  <c r="E22" i="6"/>
  <c r="E24" i="6" s="1"/>
  <c r="E10" i="10" s="1"/>
  <c r="C14" i="6"/>
  <c r="B16" i="16" s="1"/>
  <c r="C13" i="6"/>
  <c r="B10" i="16" s="1"/>
  <c r="C12" i="6"/>
  <c r="B17" i="16" s="1"/>
  <c r="C11" i="6"/>
  <c r="C10" i="6"/>
  <c r="B8" i="16" s="1"/>
  <c r="C9" i="6"/>
  <c r="B11" i="16" s="1"/>
  <c r="C8" i="6"/>
  <c r="B15" i="16" s="1"/>
  <c r="C7" i="6"/>
  <c r="B14" i="16" s="1"/>
  <c r="C6" i="6"/>
  <c r="C5" i="6"/>
  <c r="B9" i="16" s="1"/>
  <c r="C4" i="6"/>
  <c r="B12" i="16" s="1"/>
  <c r="C3" i="6"/>
  <c r="B13" i="16" s="1"/>
  <c r="C75" i="4"/>
  <c r="C76" i="4" s="1"/>
  <c r="C71" i="4"/>
  <c r="C74" i="4" s="1"/>
  <c r="C41" i="4"/>
  <c r="C40" i="4"/>
  <c r="C18" i="4"/>
  <c r="C9" i="4"/>
  <c r="C10" i="4" s="1"/>
  <c r="C11" i="4" s="1"/>
  <c r="C12" i="4" s="1"/>
  <c r="C13" i="4" s="1"/>
  <c r="I4" i="5" s="1"/>
  <c r="J24" i="2"/>
  <c r="J23" i="2"/>
  <c r="J22" i="2"/>
  <c r="C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C42" i="4" l="1"/>
  <c r="C48" i="4" s="1"/>
  <c r="C21" i="2" s="1"/>
  <c r="E16" i="8"/>
  <c r="E23" i="8" s="1"/>
  <c r="E27" i="8" s="1"/>
  <c r="F22" i="8" s="1"/>
  <c r="K4" i="5"/>
  <c r="K5" i="5" s="1"/>
  <c r="C72" i="4"/>
  <c r="C79" i="4" s="1"/>
  <c r="I16" i="9" s="1"/>
  <c r="C19" i="6"/>
  <c r="V22" i="6" s="1"/>
  <c r="V24" i="6" s="1"/>
  <c r="V10" i="10" s="1"/>
  <c r="V14" i="10" s="1"/>
  <c r="D52" i="13"/>
  <c r="C97" i="4" s="1"/>
  <c r="C15" i="6" s="1"/>
  <c r="B7" i="16" s="1"/>
  <c r="I6" i="9"/>
  <c r="I13" i="9"/>
  <c r="F30" i="9" s="1"/>
  <c r="I7" i="9"/>
  <c r="I5" i="5"/>
  <c r="X4" i="5"/>
  <c r="P4" i="5"/>
  <c r="H4" i="5"/>
  <c r="W4" i="5"/>
  <c r="O4" i="5"/>
  <c r="G4" i="5"/>
  <c r="V4" i="5"/>
  <c r="N4" i="5"/>
  <c r="F4" i="5"/>
  <c r="U4" i="5"/>
  <c r="M4" i="5"/>
  <c r="T4" i="5"/>
  <c r="L4" i="5"/>
  <c r="R4" i="5"/>
  <c r="J4" i="5"/>
  <c r="C21" i="4"/>
  <c r="C22" i="4" s="1"/>
  <c r="Q4" i="5"/>
  <c r="K7" i="9"/>
  <c r="K6" i="9"/>
  <c r="K13" i="9"/>
  <c r="F32" i="9" s="1"/>
  <c r="S4" i="5"/>
  <c r="Y4" i="5"/>
  <c r="E6" i="8"/>
  <c r="E29" i="8" s="1"/>
  <c r="B6" i="16"/>
  <c r="E46" i="9"/>
  <c r="E44" i="9"/>
  <c r="E42" i="9"/>
  <c r="E40" i="9"/>
  <c r="E38" i="9"/>
  <c r="E36" i="9"/>
  <c r="E34" i="9"/>
  <c r="E32" i="9"/>
  <c r="E30" i="9"/>
  <c r="E28" i="9"/>
  <c r="E45" i="9"/>
  <c r="E43" i="9"/>
  <c r="E41" i="9"/>
  <c r="E39" i="9"/>
  <c r="E37" i="9"/>
  <c r="E35" i="9"/>
  <c r="E33" i="9"/>
  <c r="E31" i="9"/>
  <c r="E29" i="9"/>
  <c r="E27" i="9"/>
  <c r="U22" i="6"/>
  <c r="U24" i="6" s="1"/>
  <c r="U10" i="10" s="1"/>
  <c r="U14" i="10" s="1"/>
  <c r="E8" i="8"/>
  <c r="E12" i="8" s="1"/>
  <c r="C73" i="4"/>
  <c r="G22" i="6"/>
  <c r="G24" i="6" s="1"/>
  <c r="G10" i="10" s="1"/>
  <c r="G14" i="10" s="1"/>
  <c r="H22" i="6"/>
  <c r="H24" i="6" s="1"/>
  <c r="H10" i="10" s="1"/>
  <c r="H14" i="10" s="1"/>
  <c r="P22" i="6"/>
  <c r="P24" i="6" s="1"/>
  <c r="P10" i="10" s="1"/>
  <c r="P14" i="10" s="1"/>
  <c r="X22" i="6"/>
  <c r="X24" i="6" s="1"/>
  <c r="X10" i="10" s="1"/>
  <c r="X14" i="10" s="1"/>
  <c r="J22" i="6"/>
  <c r="J24" i="6" s="1"/>
  <c r="J10" i="10" s="1"/>
  <c r="J14" i="10" s="1"/>
  <c r="F22" i="6" l="1"/>
  <c r="F24" i="6" s="1"/>
  <c r="F10" i="10" s="1"/>
  <c r="D28" i="16" s="1"/>
  <c r="N22" i="6"/>
  <c r="N24" i="6" s="1"/>
  <c r="N10" i="10" s="1"/>
  <c r="N14" i="10" s="1"/>
  <c r="Y22" i="6"/>
  <c r="Y24" i="6" s="1"/>
  <c r="Y10" i="10" s="1"/>
  <c r="Y14" i="10" s="1"/>
  <c r="S22" i="6"/>
  <c r="S24" i="6" s="1"/>
  <c r="S10" i="10" s="1"/>
  <c r="S14" i="10" s="1"/>
  <c r="M22" i="6"/>
  <c r="M24" i="6" s="1"/>
  <c r="M10" i="10" s="1"/>
  <c r="M14" i="10" s="1"/>
  <c r="K22" i="6"/>
  <c r="K24" i="6" s="1"/>
  <c r="K10" i="10" s="1"/>
  <c r="K14" i="10" s="1"/>
  <c r="W22" i="6"/>
  <c r="W24" i="6" s="1"/>
  <c r="W10" i="10" s="1"/>
  <c r="W14" i="10" s="1"/>
  <c r="O22" i="6"/>
  <c r="O24" i="6" s="1"/>
  <c r="O10" i="10" s="1"/>
  <c r="O14" i="10" s="1"/>
  <c r="K16" i="9"/>
  <c r="Q22" i="6"/>
  <c r="Q24" i="6" s="1"/>
  <c r="Q10" i="10" s="1"/>
  <c r="Q14" i="10" s="1"/>
  <c r="E18" i="8"/>
  <c r="E26" i="8" s="1"/>
  <c r="F17" i="8" s="1"/>
  <c r="I22" i="6"/>
  <c r="I24" i="6" s="1"/>
  <c r="I10" i="10" s="1"/>
  <c r="I14" i="10" s="1"/>
  <c r="C16" i="6"/>
  <c r="D4" i="6" s="1"/>
  <c r="C12" i="16" s="1"/>
  <c r="R22" i="6"/>
  <c r="R24" i="6" s="1"/>
  <c r="R10" i="10" s="1"/>
  <c r="R14" i="10" s="1"/>
  <c r="T22" i="6"/>
  <c r="T24" i="6" s="1"/>
  <c r="T10" i="10" s="1"/>
  <c r="T14" i="10" s="1"/>
  <c r="L22" i="6"/>
  <c r="L24" i="6" s="1"/>
  <c r="L10" i="10" s="1"/>
  <c r="L14" i="10" s="1"/>
  <c r="C22" i="6"/>
  <c r="C24" i="6" s="1"/>
  <c r="Q13" i="9"/>
  <c r="F38" i="9" s="1"/>
  <c r="Q6" i="9"/>
  <c r="Q16" i="9"/>
  <c r="Q7" i="9"/>
  <c r="Q5" i="5"/>
  <c r="U16" i="9"/>
  <c r="U7" i="9"/>
  <c r="U13" i="9"/>
  <c r="F42" i="9" s="1"/>
  <c r="U6" i="9"/>
  <c r="U5" i="5"/>
  <c r="P13" i="9"/>
  <c r="F37" i="9" s="1"/>
  <c r="P7" i="9"/>
  <c r="P16" i="9"/>
  <c r="P5" i="5"/>
  <c r="P6" i="9"/>
  <c r="S16" i="9"/>
  <c r="S7" i="9"/>
  <c r="S13" i="9"/>
  <c r="F40" i="9" s="1"/>
  <c r="S5" i="5"/>
  <c r="S6" i="9"/>
  <c r="Y9" i="5"/>
  <c r="Q9" i="5"/>
  <c r="I9" i="5"/>
  <c r="X9" i="5"/>
  <c r="P9" i="5"/>
  <c r="H9" i="5"/>
  <c r="W9" i="5"/>
  <c r="O9" i="5"/>
  <c r="G9" i="5"/>
  <c r="V9" i="5"/>
  <c r="N9" i="5"/>
  <c r="F9" i="5"/>
  <c r="C25" i="4"/>
  <c r="U9" i="5"/>
  <c r="M9" i="5"/>
  <c r="T9" i="5"/>
  <c r="L9" i="5"/>
  <c r="C23" i="4"/>
  <c r="C24" i="4" s="1"/>
  <c r="R9" i="5"/>
  <c r="J9" i="5"/>
  <c r="S9" i="5"/>
  <c r="K9" i="5"/>
  <c r="F13" i="9"/>
  <c r="C7" i="11"/>
  <c r="F7" i="9"/>
  <c r="F8" i="16" s="1"/>
  <c r="F16" i="9"/>
  <c r="C12" i="2"/>
  <c r="F6" i="9"/>
  <c r="F10" i="16" s="1"/>
  <c r="F5" i="5"/>
  <c r="X13" i="9"/>
  <c r="F45" i="9" s="1"/>
  <c r="X7" i="9"/>
  <c r="X16" i="9"/>
  <c r="X6" i="9"/>
  <c r="X5" i="5"/>
  <c r="K9" i="9"/>
  <c r="K4" i="7"/>
  <c r="K5" i="8" s="1"/>
  <c r="K8" i="9"/>
  <c r="K6" i="5"/>
  <c r="K8" i="5" s="1"/>
  <c r="K3" i="7" s="1"/>
  <c r="N13" i="9"/>
  <c r="F35" i="9" s="1"/>
  <c r="N16" i="9"/>
  <c r="N7" i="9"/>
  <c r="N6" i="9"/>
  <c r="N5" i="5"/>
  <c r="J16" i="9"/>
  <c r="J6" i="9"/>
  <c r="J13" i="9"/>
  <c r="F31" i="9" s="1"/>
  <c r="J7" i="9"/>
  <c r="J5" i="5"/>
  <c r="V13" i="9"/>
  <c r="F43" i="9" s="1"/>
  <c r="V7" i="9"/>
  <c r="V16" i="9"/>
  <c r="V6" i="9"/>
  <c r="V5" i="5"/>
  <c r="I8" i="9"/>
  <c r="I9" i="9"/>
  <c r="I6" i="5"/>
  <c r="I8" i="5" s="1"/>
  <c r="I3" i="7" s="1"/>
  <c r="I4" i="7"/>
  <c r="I5" i="8" s="1"/>
  <c r="Y16" i="9"/>
  <c r="Y6" i="9"/>
  <c r="Y7" i="9"/>
  <c r="Y13" i="9"/>
  <c r="F46" i="9" s="1"/>
  <c r="Y5" i="5"/>
  <c r="R13" i="9"/>
  <c r="F39" i="9" s="1"/>
  <c r="R6" i="9"/>
  <c r="R16" i="9"/>
  <c r="R5" i="5"/>
  <c r="R7" i="9"/>
  <c r="G16" i="9"/>
  <c r="G6" i="9"/>
  <c r="G13" i="9"/>
  <c r="F28" i="9" s="1"/>
  <c r="G7" i="9"/>
  <c r="G5" i="5"/>
  <c r="T13" i="9"/>
  <c r="F41" i="9" s="1"/>
  <c r="T6" i="9"/>
  <c r="T5" i="5"/>
  <c r="T16" i="9"/>
  <c r="T7" i="9"/>
  <c r="W16" i="9"/>
  <c r="W13" i="9"/>
  <c r="F44" i="9" s="1"/>
  <c r="W6" i="9"/>
  <c r="W7" i="9"/>
  <c r="W5" i="5"/>
  <c r="E24" i="8"/>
  <c r="E25" i="8" s="1"/>
  <c r="L13" i="9"/>
  <c r="F33" i="9" s="1"/>
  <c r="L6" i="9"/>
  <c r="L16" i="9"/>
  <c r="L7" i="9"/>
  <c r="L5" i="5"/>
  <c r="O16" i="9"/>
  <c r="O13" i="9"/>
  <c r="F36" i="9" s="1"/>
  <c r="O6" i="9"/>
  <c r="O7" i="9"/>
  <c r="O5" i="5"/>
  <c r="D54" i="13"/>
  <c r="D55" i="13" s="1"/>
  <c r="E4" i="10"/>
  <c r="E15" i="10" s="1"/>
  <c r="D12" i="6"/>
  <c r="C17" i="16" s="1"/>
  <c r="D8" i="6"/>
  <c r="C15" i="16" s="1"/>
  <c r="D15" i="6"/>
  <c r="C7" i="16" s="1"/>
  <c r="D11" i="6"/>
  <c r="D7" i="6"/>
  <c r="C14" i="16" s="1"/>
  <c r="D3" i="6"/>
  <c r="C13" i="16" s="1"/>
  <c r="D14" i="6"/>
  <c r="C16" i="16" s="1"/>
  <c r="D10" i="6"/>
  <c r="C8" i="16" s="1"/>
  <c r="D6" i="6"/>
  <c r="C6" i="16" s="1"/>
  <c r="D19" i="6"/>
  <c r="D13" i="6"/>
  <c r="C10" i="16" s="1"/>
  <c r="E5" i="2"/>
  <c r="D5" i="6"/>
  <c r="C9" i="16" s="1"/>
  <c r="D9" i="6"/>
  <c r="C11" i="16" s="1"/>
  <c r="E19" i="8"/>
  <c r="M16" i="9"/>
  <c r="M13" i="9"/>
  <c r="F34" i="9" s="1"/>
  <c r="M7" i="9"/>
  <c r="M6" i="9"/>
  <c r="M5" i="5"/>
  <c r="H13" i="9"/>
  <c r="F29" i="9" s="1"/>
  <c r="H7" i="9"/>
  <c r="H6" i="9"/>
  <c r="H5" i="5"/>
  <c r="H16" i="9"/>
  <c r="F14" i="10" l="1"/>
  <c r="C32" i="16" s="1"/>
  <c r="B18" i="16"/>
  <c r="I4" i="8"/>
  <c r="I6" i="8" s="1"/>
  <c r="I5" i="7"/>
  <c r="F12" i="16"/>
  <c r="F27" i="9"/>
  <c r="S8" i="9"/>
  <c r="S9" i="9"/>
  <c r="S4" i="7"/>
  <c r="S5" i="8" s="1"/>
  <c r="S6" i="5"/>
  <c r="S8" i="5" s="1"/>
  <c r="S3" i="7" s="1"/>
  <c r="J8" i="9"/>
  <c r="J9" i="9"/>
  <c r="J4" i="7"/>
  <c r="J5" i="8" s="1"/>
  <c r="J6" i="5"/>
  <c r="J8" i="5" s="1"/>
  <c r="J3" i="7" s="1"/>
  <c r="F9" i="9"/>
  <c r="F14" i="16" s="1"/>
  <c r="F8" i="9"/>
  <c r="F15" i="16" s="1"/>
  <c r="F6" i="5"/>
  <c r="F8" i="5" s="1"/>
  <c r="F4" i="7"/>
  <c r="F5" i="8" s="1"/>
  <c r="C13" i="2"/>
  <c r="C82" i="4"/>
  <c r="C45" i="4"/>
  <c r="C17" i="11" s="1"/>
  <c r="C18" i="11" s="1"/>
  <c r="Q8" i="9"/>
  <c r="Q9" i="9"/>
  <c r="Q6" i="5"/>
  <c r="Q8" i="5" s="1"/>
  <c r="Q3" i="7" s="1"/>
  <c r="Q4" i="7"/>
  <c r="Q5" i="8" s="1"/>
  <c r="H9" i="9"/>
  <c r="H6" i="5"/>
  <c r="H8" i="5" s="1"/>
  <c r="H3" i="7" s="1"/>
  <c r="H4" i="7"/>
  <c r="H5" i="8" s="1"/>
  <c r="H8" i="9"/>
  <c r="V9" i="9"/>
  <c r="V8" i="9"/>
  <c r="V6" i="5"/>
  <c r="V8" i="5" s="1"/>
  <c r="V3" i="7" s="1"/>
  <c r="V4" i="7"/>
  <c r="V5" i="8" s="1"/>
  <c r="X9" i="9"/>
  <c r="X8" i="9"/>
  <c r="X6" i="5"/>
  <c r="X8" i="5" s="1"/>
  <c r="X3" i="7" s="1"/>
  <c r="X4" i="7"/>
  <c r="X5" i="8" s="1"/>
  <c r="C8" i="11"/>
  <c r="C15" i="2"/>
  <c r="T8" i="9"/>
  <c r="T6" i="5"/>
  <c r="T8" i="5" s="1"/>
  <c r="T3" i="7" s="1"/>
  <c r="T9" i="9"/>
  <c r="T4" i="7"/>
  <c r="T5" i="8" s="1"/>
  <c r="Y8" i="9"/>
  <c r="Y9" i="9"/>
  <c r="Y6" i="5"/>
  <c r="Y8" i="5" s="1"/>
  <c r="Y3" i="7" s="1"/>
  <c r="Y4" i="7"/>
  <c r="Y5" i="8" s="1"/>
  <c r="O9" i="9"/>
  <c r="O8" i="9"/>
  <c r="O6" i="5"/>
  <c r="O8" i="5" s="1"/>
  <c r="O3" i="7" s="1"/>
  <c r="O4" i="7"/>
  <c r="O5" i="8" s="1"/>
  <c r="G9" i="9"/>
  <c r="G8" i="9"/>
  <c r="G6" i="5"/>
  <c r="G8" i="5" s="1"/>
  <c r="G3" i="7" s="1"/>
  <c r="G4" i="7"/>
  <c r="G5" i="8" s="1"/>
  <c r="R8" i="9"/>
  <c r="R9" i="9"/>
  <c r="R4" i="7"/>
  <c r="R5" i="8" s="1"/>
  <c r="R6" i="5"/>
  <c r="R8" i="5" s="1"/>
  <c r="R3" i="7" s="1"/>
  <c r="F9" i="16"/>
  <c r="U9" i="9"/>
  <c r="U8" i="9"/>
  <c r="U6" i="5"/>
  <c r="U8" i="5" s="1"/>
  <c r="U3" i="7" s="1"/>
  <c r="U4" i="7"/>
  <c r="U5" i="8" s="1"/>
  <c r="K4" i="8"/>
  <c r="K6" i="8" s="1"/>
  <c r="K5" i="7"/>
  <c r="U10" i="5"/>
  <c r="U12" i="9" s="1"/>
  <c r="U14" i="9" s="1"/>
  <c r="M10" i="5"/>
  <c r="M12" i="9" s="1"/>
  <c r="M14" i="9" s="1"/>
  <c r="T10" i="5"/>
  <c r="T12" i="9" s="1"/>
  <c r="T14" i="9" s="1"/>
  <c r="L10" i="5"/>
  <c r="L12" i="9" s="1"/>
  <c r="L14" i="9" s="1"/>
  <c r="S10" i="5"/>
  <c r="S12" i="9" s="1"/>
  <c r="S14" i="9" s="1"/>
  <c r="K10" i="5"/>
  <c r="K12" i="9" s="1"/>
  <c r="K14" i="9" s="1"/>
  <c r="R10" i="5"/>
  <c r="R12" i="9" s="1"/>
  <c r="R14" i="9" s="1"/>
  <c r="J10" i="5"/>
  <c r="J12" i="9" s="1"/>
  <c r="J14" i="9" s="1"/>
  <c r="Y10" i="5"/>
  <c r="Y12" i="9" s="1"/>
  <c r="Y14" i="9" s="1"/>
  <c r="Q10" i="5"/>
  <c r="Q12" i="9" s="1"/>
  <c r="Q14" i="9" s="1"/>
  <c r="I10" i="5"/>
  <c r="I12" i="9" s="1"/>
  <c r="I14" i="9" s="1"/>
  <c r="X10" i="5"/>
  <c r="X12" i="9" s="1"/>
  <c r="X14" i="9" s="1"/>
  <c r="P10" i="5"/>
  <c r="P12" i="9" s="1"/>
  <c r="P14" i="9" s="1"/>
  <c r="H10" i="5"/>
  <c r="H12" i="9" s="1"/>
  <c r="H14" i="9" s="1"/>
  <c r="V10" i="5"/>
  <c r="V12" i="9" s="1"/>
  <c r="V14" i="9" s="1"/>
  <c r="N10" i="5"/>
  <c r="N12" i="9" s="1"/>
  <c r="N14" i="9" s="1"/>
  <c r="F10" i="5"/>
  <c r="G10" i="5"/>
  <c r="G12" i="9" s="1"/>
  <c r="G14" i="9" s="1"/>
  <c r="W10" i="5"/>
  <c r="W12" i="9" s="1"/>
  <c r="W14" i="9" s="1"/>
  <c r="O10" i="5"/>
  <c r="O12" i="9" s="1"/>
  <c r="O14" i="9" s="1"/>
  <c r="M9" i="9"/>
  <c r="M8" i="9"/>
  <c r="M6" i="5"/>
  <c r="M8" i="5" s="1"/>
  <c r="M3" i="7" s="1"/>
  <c r="M4" i="7"/>
  <c r="M5" i="8" s="1"/>
  <c r="L8" i="9"/>
  <c r="L9" i="9"/>
  <c r="L6" i="5"/>
  <c r="L8" i="5" s="1"/>
  <c r="L3" i="7" s="1"/>
  <c r="L4" i="7"/>
  <c r="L5" i="8" s="1"/>
  <c r="E21" i="8"/>
  <c r="E20" i="8"/>
  <c r="B37" i="16"/>
  <c r="C37" i="16" s="1"/>
  <c r="E18" i="10"/>
  <c r="E16" i="10"/>
  <c r="W9" i="9"/>
  <c r="W8" i="9"/>
  <c r="W6" i="5"/>
  <c r="W8" i="5" s="1"/>
  <c r="W3" i="7" s="1"/>
  <c r="W4" i="7"/>
  <c r="W5" i="8" s="1"/>
  <c r="I8" i="8"/>
  <c r="I7" i="8"/>
  <c r="N9" i="9"/>
  <c r="N8" i="9"/>
  <c r="N6" i="5"/>
  <c r="N8" i="5" s="1"/>
  <c r="N3" i="7" s="1"/>
  <c r="N4" i="7"/>
  <c r="N5" i="8" s="1"/>
  <c r="K7" i="8"/>
  <c r="K8" i="8"/>
  <c r="C46" i="11"/>
  <c r="C30" i="11"/>
  <c r="C29" i="11"/>
  <c r="C23" i="11"/>
  <c r="P9" i="9"/>
  <c r="P6" i="5"/>
  <c r="P8" i="5" s="1"/>
  <c r="P3" i="7" s="1"/>
  <c r="P8" i="9"/>
  <c r="P4" i="7"/>
  <c r="P5" i="8" s="1"/>
  <c r="E28" i="8" l="1"/>
  <c r="E12" i="10" s="1"/>
  <c r="Q8" i="8"/>
  <c r="Q7" i="8"/>
  <c r="Y4" i="8"/>
  <c r="Y6" i="8" s="1"/>
  <c r="Y5" i="7"/>
  <c r="F3" i="7"/>
  <c r="C14" i="2"/>
  <c r="E19" i="10"/>
  <c r="K4" i="2"/>
  <c r="R4" i="8"/>
  <c r="R6" i="8" s="1"/>
  <c r="R5" i="7"/>
  <c r="X8" i="8"/>
  <c r="X7" i="8"/>
  <c r="S4" i="8"/>
  <c r="S6" i="8" s="1"/>
  <c r="S5" i="7"/>
  <c r="Y8" i="8"/>
  <c r="Y7" i="8"/>
  <c r="I5" i="10"/>
  <c r="I6" i="7"/>
  <c r="I6" i="10" s="1"/>
  <c r="K5" i="10"/>
  <c r="K6" i="7"/>
  <c r="K6" i="10" s="1"/>
  <c r="D37" i="16"/>
  <c r="U7" i="8"/>
  <c r="U8" i="8"/>
  <c r="X4" i="8"/>
  <c r="X6" i="8" s="1"/>
  <c r="X5" i="7"/>
  <c r="L7" i="8"/>
  <c r="L8" i="8"/>
  <c r="U4" i="8"/>
  <c r="U6" i="8" s="1"/>
  <c r="U5" i="7"/>
  <c r="O5" i="7"/>
  <c r="O4" i="8"/>
  <c r="O6" i="8" s="1"/>
  <c r="T7" i="8"/>
  <c r="T8" i="8"/>
  <c r="C31" i="11"/>
  <c r="C39" i="11" s="1"/>
  <c r="C78" i="4"/>
  <c r="C21" i="11" s="1"/>
  <c r="J4" i="8"/>
  <c r="J6" i="8" s="1"/>
  <c r="J5" i="7"/>
  <c r="F7" i="8"/>
  <c r="F8" i="8"/>
  <c r="Q4" i="8"/>
  <c r="Q6" i="8" s="1"/>
  <c r="Q5" i="7"/>
  <c r="R8" i="8"/>
  <c r="R7" i="8"/>
  <c r="S7" i="8"/>
  <c r="S8" i="8"/>
  <c r="W5" i="7"/>
  <c r="W4" i="8"/>
  <c r="W6" i="8" s="1"/>
  <c r="L4" i="8"/>
  <c r="L6" i="8" s="1"/>
  <c r="L5" i="7"/>
  <c r="H8" i="8"/>
  <c r="H7" i="8"/>
  <c r="W20" i="9"/>
  <c r="W21" i="9" s="1"/>
  <c r="O20" i="9"/>
  <c r="O21" i="9" s="1"/>
  <c r="G20" i="9"/>
  <c r="G21" i="9" s="1"/>
  <c r="U20" i="9"/>
  <c r="U21" i="9" s="1"/>
  <c r="M20" i="9"/>
  <c r="M21" i="9" s="1"/>
  <c r="S20" i="9"/>
  <c r="S21" i="9" s="1"/>
  <c r="K20" i="9"/>
  <c r="K21" i="9" s="1"/>
  <c r="Y20" i="9"/>
  <c r="Y21" i="9" s="1"/>
  <c r="L20" i="9"/>
  <c r="L21" i="9" s="1"/>
  <c r="X20" i="9"/>
  <c r="X21" i="9" s="1"/>
  <c r="J20" i="9"/>
  <c r="J21" i="9" s="1"/>
  <c r="V20" i="9"/>
  <c r="V21" i="9" s="1"/>
  <c r="I20" i="9"/>
  <c r="I21" i="9" s="1"/>
  <c r="C48" i="11"/>
  <c r="T20" i="9"/>
  <c r="T21" i="9" s="1"/>
  <c r="H20" i="9"/>
  <c r="H21" i="9" s="1"/>
  <c r="Q20" i="9"/>
  <c r="Q21" i="9" s="1"/>
  <c r="P20" i="9"/>
  <c r="P21" i="9" s="1"/>
  <c r="N20" i="9"/>
  <c r="N21" i="9" s="1"/>
  <c r="F20" i="9"/>
  <c r="F21" i="9" s="1"/>
  <c r="R20" i="9"/>
  <c r="R21" i="9" s="1"/>
  <c r="J8" i="8"/>
  <c r="J7" i="8"/>
  <c r="M7" i="8"/>
  <c r="M8" i="8"/>
  <c r="P4" i="8"/>
  <c r="P6" i="8" s="1"/>
  <c r="P5" i="7"/>
  <c r="O7" i="8"/>
  <c r="O8" i="8"/>
  <c r="N7" i="8"/>
  <c r="N8" i="8"/>
  <c r="C34" i="11"/>
  <c r="C37" i="11" s="1"/>
  <c r="G7" i="8"/>
  <c r="G8" i="8"/>
  <c r="T4" i="8"/>
  <c r="T6" i="8" s="1"/>
  <c r="T5" i="7"/>
  <c r="H4" i="8"/>
  <c r="H6" i="8" s="1"/>
  <c r="H5" i="7"/>
  <c r="M4" i="8"/>
  <c r="M6" i="8" s="1"/>
  <c r="M5" i="7"/>
  <c r="W7" i="8"/>
  <c r="W8" i="8"/>
  <c r="C35" i="11"/>
  <c r="C38" i="11" s="1"/>
  <c r="C32" i="11"/>
  <c r="N4" i="8"/>
  <c r="N6" i="8" s="1"/>
  <c r="N5" i="7"/>
  <c r="P8" i="8"/>
  <c r="P7" i="8"/>
  <c r="G5" i="7"/>
  <c r="G4" i="8"/>
  <c r="G6" i="8" s="1"/>
  <c r="V7" i="8"/>
  <c r="V8" i="8"/>
  <c r="V4" i="8"/>
  <c r="V6" i="8" s="1"/>
  <c r="V5" i="7"/>
  <c r="C9" i="11"/>
  <c r="C64" i="11" s="1"/>
  <c r="C65" i="11" s="1"/>
  <c r="C69" i="11" s="1"/>
  <c r="F12" i="9"/>
  <c r="C16" i="2"/>
  <c r="Y5" i="9" l="1"/>
  <c r="Y10" i="9" s="1"/>
  <c r="Y22" i="9" s="1"/>
  <c r="Y9" i="8" s="1"/>
  <c r="P5" i="9"/>
  <c r="P10" i="9" s="1"/>
  <c r="P22" i="9" s="1"/>
  <c r="P7" i="10" s="1"/>
  <c r="I5" i="9"/>
  <c r="I10" i="9" s="1"/>
  <c r="I22" i="9" s="1"/>
  <c r="I7" i="10" s="1"/>
  <c r="I8" i="10" s="1"/>
  <c r="O5" i="9"/>
  <c r="O10" i="9" s="1"/>
  <c r="O22" i="9" s="1"/>
  <c r="G5" i="9"/>
  <c r="G10" i="9" s="1"/>
  <c r="G22" i="9" s="1"/>
  <c r="K5" i="9"/>
  <c r="K10" i="9" s="1"/>
  <c r="K22" i="9" s="1"/>
  <c r="S5" i="10"/>
  <c r="S6" i="7"/>
  <c r="S6" i="10" s="1"/>
  <c r="F4" i="8"/>
  <c r="F6" i="8" s="1"/>
  <c r="F5" i="7"/>
  <c r="C17" i="2"/>
  <c r="T5" i="10"/>
  <c r="T6" i="7"/>
  <c r="T6" i="10" s="1"/>
  <c r="Q5" i="10"/>
  <c r="Q6" i="7"/>
  <c r="Q6" i="10" s="1"/>
  <c r="U5" i="10"/>
  <c r="U6" i="7"/>
  <c r="U6" i="10" s="1"/>
  <c r="P5" i="10"/>
  <c r="P6" i="7"/>
  <c r="P6" i="10" s="1"/>
  <c r="W5" i="10"/>
  <c r="W6" i="7"/>
  <c r="W6" i="10" s="1"/>
  <c r="R5" i="9"/>
  <c r="R10" i="9" s="1"/>
  <c r="R22" i="9" s="1"/>
  <c r="V5" i="9"/>
  <c r="V10" i="9" s="1"/>
  <c r="V22" i="9" s="1"/>
  <c r="Y5" i="10"/>
  <c r="Y6" i="7"/>
  <c r="Y6" i="10" s="1"/>
  <c r="L5" i="10"/>
  <c r="L6" i="7"/>
  <c r="L6" i="10" s="1"/>
  <c r="T5" i="9"/>
  <c r="T10" i="9" s="1"/>
  <c r="T22" i="9" s="1"/>
  <c r="M5" i="10"/>
  <c r="M6" i="7"/>
  <c r="M6" i="10" s="1"/>
  <c r="C36" i="11"/>
  <c r="C42" i="11" s="1"/>
  <c r="J5" i="10"/>
  <c r="J6" i="7"/>
  <c r="J6" i="10" s="1"/>
  <c r="J5" i="9"/>
  <c r="J10" i="9" s="1"/>
  <c r="J22" i="9" s="1"/>
  <c r="X5" i="9"/>
  <c r="X10" i="9" s="1"/>
  <c r="X22" i="9" s="1"/>
  <c r="X5" i="10"/>
  <c r="X6" i="7"/>
  <c r="X6" i="10" s="1"/>
  <c r="C40" i="11"/>
  <c r="C43" i="11" s="1"/>
  <c r="Q5" i="9"/>
  <c r="Q10" i="9" s="1"/>
  <c r="Q22" i="9" s="1"/>
  <c r="H5" i="9"/>
  <c r="H10" i="9" s="1"/>
  <c r="H22" i="9" s="1"/>
  <c r="G5" i="10"/>
  <c r="G6" i="7"/>
  <c r="G6" i="10" s="1"/>
  <c r="F5" i="9"/>
  <c r="S5" i="9"/>
  <c r="S10" i="9" s="1"/>
  <c r="S22" i="9" s="1"/>
  <c r="F6" i="16"/>
  <c r="F14" i="9"/>
  <c r="V5" i="10"/>
  <c r="V6" i="7"/>
  <c r="V6" i="10" s="1"/>
  <c r="N5" i="10"/>
  <c r="N6" i="7"/>
  <c r="N6" i="10" s="1"/>
  <c r="H5" i="10"/>
  <c r="H6" i="7"/>
  <c r="H6" i="10" s="1"/>
  <c r="W5" i="9"/>
  <c r="W10" i="9" s="1"/>
  <c r="W22" i="9" s="1"/>
  <c r="M5" i="9"/>
  <c r="M10" i="9" s="1"/>
  <c r="M22" i="9" s="1"/>
  <c r="R5" i="10"/>
  <c r="R6" i="7"/>
  <c r="R6" i="10" s="1"/>
  <c r="N5" i="9"/>
  <c r="N10" i="9" s="1"/>
  <c r="N22" i="9" s="1"/>
  <c r="L5" i="9"/>
  <c r="L10" i="9" s="1"/>
  <c r="L22" i="9" s="1"/>
  <c r="U5" i="9"/>
  <c r="U10" i="9" s="1"/>
  <c r="U22" i="9" s="1"/>
  <c r="O5" i="10"/>
  <c r="O6" i="7"/>
  <c r="O6" i="10" s="1"/>
  <c r="C68" i="11"/>
  <c r="C70" i="11" s="1"/>
  <c r="P9" i="8" l="1"/>
  <c r="P10" i="8" s="1"/>
  <c r="Y7" i="10"/>
  <c r="Y8" i="10" s="1"/>
  <c r="Y11" i="10" s="1"/>
  <c r="I9" i="8"/>
  <c r="I10" i="8" s="1"/>
  <c r="I11" i="10"/>
  <c r="I9" i="10"/>
  <c r="J7" i="10"/>
  <c r="J8" i="10" s="1"/>
  <c r="J11" i="10" s="1"/>
  <c r="J9" i="8"/>
  <c r="T7" i="10"/>
  <c r="T8" i="10" s="1"/>
  <c r="T9" i="8"/>
  <c r="K7" i="10"/>
  <c r="K8" i="10" s="1"/>
  <c r="K9" i="8"/>
  <c r="W7" i="10"/>
  <c r="W8" i="10" s="1"/>
  <c r="W11" i="10" s="1"/>
  <c r="W9" i="8"/>
  <c r="F7" i="16"/>
  <c r="F10" i="9"/>
  <c r="F22" i="9" s="1"/>
  <c r="X7" i="10"/>
  <c r="X8" i="10" s="1"/>
  <c r="X9" i="8"/>
  <c r="P8" i="10"/>
  <c r="P11" i="10" s="1"/>
  <c r="H7" i="10"/>
  <c r="H8" i="10" s="1"/>
  <c r="H9" i="8"/>
  <c r="V7" i="10"/>
  <c r="V8" i="10" s="1"/>
  <c r="V9" i="8"/>
  <c r="G7" i="10"/>
  <c r="G8" i="10" s="1"/>
  <c r="G11" i="10" s="1"/>
  <c r="G9" i="8"/>
  <c r="N7" i="10"/>
  <c r="N8" i="10" s="1"/>
  <c r="N11" i="10" s="1"/>
  <c r="N9" i="8"/>
  <c r="S7" i="10"/>
  <c r="S8" i="10" s="1"/>
  <c r="S11" i="10" s="1"/>
  <c r="S9" i="8"/>
  <c r="Q7" i="10"/>
  <c r="Q8" i="10" s="1"/>
  <c r="Q11" i="10" s="1"/>
  <c r="Q9" i="8"/>
  <c r="R7" i="10"/>
  <c r="R8" i="10" s="1"/>
  <c r="R11" i="10" s="1"/>
  <c r="R9" i="8"/>
  <c r="F5" i="10"/>
  <c r="F6" i="7"/>
  <c r="F6" i="10" s="1"/>
  <c r="D25" i="16" s="1"/>
  <c r="O7" i="10"/>
  <c r="O8" i="10" s="1"/>
  <c r="O9" i="8"/>
  <c r="U7" i="10"/>
  <c r="U8" i="10" s="1"/>
  <c r="U9" i="8"/>
  <c r="L7" i="10"/>
  <c r="L8" i="10" s="1"/>
  <c r="L9" i="8"/>
  <c r="M7" i="10"/>
  <c r="M8" i="10" s="1"/>
  <c r="M9" i="8"/>
  <c r="C44" i="11"/>
  <c r="Y10" i="8"/>
  <c r="Y11" i="8"/>
  <c r="P11" i="8" l="1"/>
  <c r="T11" i="10"/>
  <c r="T13" i="8" s="1"/>
  <c r="T16" i="8" s="1"/>
  <c r="T9" i="10"/>
  <c r="I11" i="8"/>
  <c r="I12" i="8" s="1"/>
  <c r="Y9" i="10"/>
  <c r="O11" i="10"/>
  <c r="O13" i="8" s="1"/>
  <c r="O16" i="8" s="1"/>
  <c r="O9" i="10"/>
  <c r="U11" i="10"/>
  <c r="U13" i="8" s="1"/>
  <c r="U16" i="8" s="1"/>
  <c r="U9" i="10"/>
  <c r="V11" i="10"/>
  <c r="V9" i="10"/>
  <c r="X11" i="10"/>
  <c r="X9" i="10"/>
  <c r="M11" i="10"/>
  <c r="M9" i="10"/>
  <c r="L11" i="10"/>
  <c r="L9" i="10"/>
  <c r="H11" i="10"/>
  <c r="H9" i="10"/>
  <c r="P13" i="8"/>
  <c r="P16" i="8" s="1"/>
  <c r="M10" i="8"/>
  <c r="M11" i="8"/>
  <c r="R9" i="10"/>
  <c r="P9" i="10"/>
  <c r="W9" i="10"/>
  <c r="Q9" i="10"/>
  <c r="N13" i="8"/>
  <c r="N16" i="8" s="1"/>
  <c r="Q13" i="8"/>
  <c r="Q16" i="8" s="1"/>
  <c r="J13" i="8"/>
  <c r="J16" i="8" s="1"/>
  <c r="X10" i="8"/>
  <c r="X11" i="8"/>
  <c r="F17" i="16"/>
  <c r="F7" i="10"/>
  <c r="D26" i="16" s="1"/>
  <c r="F9" i="8"/>
  <c r="C18" i="2"/>
  <c r="T11" i="8"/>
  <c r="T10" i="8"/>
  <c r="Y13" i="8"/>
  <c r="Y16" i="8" s="1"/>
  <c r="R13" i="8"/>
  <c r="R16" i="8" s="1"/>
  <c r="Y12" i="8"/>
  <c r="U10" i="8"/>
  <c r="U11" i="8"/>
  <c r="H10" i="8"/>
  <c r="H11" i="8"/>
  <c r="L11" i="8"/>
  <c r="L10" i="8"/>
  <c r="J9" i="10"/>
  <c r="Q10" i="8"/>
  <c r="Q11" i="8"/>
  <c r="G13" i="8"/>
  <c r="G16" i="8" s="1"/>
  <c r="V10" i="8"/>
  <c r="V11" i="8"/>
  <c r="G9" i="10"/>
  <c r="C66" i="11"/>
  <c r="C71" i="11" s="1"/>
  <c r="C45" i="11"/>
  <c r="O10" i="8"/>
  <c r="O11" i="8"/>
  <c r="N10" i="8"/>
  <c r="N11" i="8"/>
  <c r="W10" i="8"/>
  <c r="W11" i="8"/>
  <c r="J11" i="8"/>
  <c r="J10" i="8"/>
  <c r="R11" i="8"/>
  <c r="R10" i="8"/>
  <c r="W13" i="8"/>
  <c r="W16" i="8" s="1"/>
  <c r="S11" i="8"/>
  <c r="S10" i="8"/>
  <c r="G10" i="8"/>
  <c r="G11" i="8"/>
  <c r="S13" i="8"/>
  <c r="S16" i="8" s="1"/>
  <c r="K11" i="8"/>
  <c r="K10" i="8"/>
  <c r="N9" i="10"/>
  <c r="B25" i="16"/>
  <c r="E24" i="16"/>
  <c r="C7" i="2"/>
  <c r="S9" i="10"/>
  <c r="K11" i="10"/>
  <c r="K9" i="10"/>
  <c r="P12" i="8"/>
  <c r="I13" i="8"/>
  <c r="I16" i="8" s="1"/>
  <c r="R12" i="8" l="1"/>
  <c r="Q12" i="8"/>
  <c r="F8" i="10"/>
  <c r="F9" i="10" s="1"/>
  <c r="H13" i="8"/>
  <c r="H16" i="8" s="1"/>
  <c r="V13" i="8"/>
  <c r="V16" i="8" s="1"/>
  <c r="K13" i="8"/>
  <c r="K16" i="8" s="1"/>
  <c r="K12" i="8"/>
  <c r="W12" i="8"/>
  <c r="U12" i="8"/>
  <c r="L12" i="8"/>
  <c r="M12" i="8"/>
  <c r="M13" i="8"/>
  <c r="M16" i="8" s="1"/>
  <c r="O12" i="8"/>
  <c r="F10" i="8"/>
  <c r="F11" i="8"/>
  <c r="L13" i="8"/>
  <c r="L16" i="8" s="1"/>
  <c r="N12" i="8"/>
  <c r="G12" i="8"/>
  <c r="J12" i="8"/>
  <c r="C22" i="11"/>
  <c r="C47" i="11"/>
  <c r="C49" i="11" s="1"/>
  <c r="C50" i="11" s="1"/>
  <c r="V12" i="8"/>
  <c r="X12" i="8"/>
  <c r="X13" i="8"/>
  <c r="X16" i="8" s="1"/>
  <c r="S12" i="8"/>
  <c r="H12" i="8"/>
  <c r="T12" i="8"/>
  <c r="E7" i="2" l="1"/>
  <c r="C9" i="2" s="1"/>
  <c r="C19" i="2"/>
  <c r="B26" i="16"/>
  <c r="F11" i="10"/>
  <c r="E29" i="16" s="1"/>
  <c r="E27" i="16"/>
  <c r="B28" i="16"/>
  <c r="F12" i="8"/>
  <c r="C24" i="11"/>
  <c r="C26" i="11" s="1"/>
  <c r="C25" i="11"/>
  <c r="F13" i="8" l="1"/>
  <c r="F16" i="8" s="1"/>
  <c r="F18" i="8" s="1"/>
  <c r="F26" i="8" s="1"/>
  <c r="G17" i="8" s="1"/>
  <c r="F23" i="8" l="1"/>
  <c r="F27" i="8" s="1"/>
  <c r="G22" i="8" s="1"/>
  <c r="G23" i="8" s="1"/>
  <c r="G24" i="8" s="1"/>
  <c r="G25" i="8" s="1"/>
  <c r="G18" i="8"/>
  <c r="G19" i="8" s="1"/>
  <c r="F19" i="8"/>
  <c r="F24" i="8" l="1"/>
  <c r="F25" i="8" s="1"/>
  <c r="G20" i="8"/>
  <c r="G21" i="8"/>
  <c r="F20" i="8"/>
  <c r="F21" i="8"/>
  <c r="G26" i="8"/>
  <c r="H17" i="8" s="1"/>
  <c r="G27" i="8"/>
  <c r="H22" i="8" s="1"/>
  <c r="F28" i="8" l="1"/>
  <c r="F12" i="10" s="1"/>
  <c r="G28" i="8"/>
  <c r="G12" i="10" s="1"/>
  <c r="G13" i="10" s="1"/>
  <c r="G15" i="10" s="1"/>
  <c r="H18" i="8"/>
  <c r="H19" i="8" s="1"/>
  <c r="H23" i="8"/>
  <c r="H24" i="8" s="1"/>
  <c r="H25" i="8" s="1"/>
  <c r="G29" i="8" l="1"/>
  <c r="F29" i="8"/>
  <c r="B39" i="16"/>
  <c r="G18" i="10"/>
  <c r="H27" i="8"/>
  <c r="I22" i="8" s="1"/>
  <c r="D30" i="16"/>
  <c r="F13" i="10"/>
  <c r="H21" i="8"/>
  <c r="H20" i="8"/>
  <c r="H26" i="8"/>
  <c r="I17" i="8" s="1"/>
  <c r="H28" i="8" l="1"/>
  <c r="H12" i="10" s="1"/>
  <c r="H13" i="10" s="1"/>
  <c r="H15" i="10" s="1"/>
  <c r="I18" i="8"/>
  <c r="I19" i="8" s="1"/>
  <c r="B32" i="16"/>
  <c r="E31" i="16"/>
  <c r="B30" i="16"/>
  <c r="F15" i="10"/>
  <c r="I23" i="8"/>
  <c r="I24" i="8" s="1"/>
  <c r="I25" i="8" s="1"/>
  <c r="I27" i="8" l="1"/>
  <c r="J22" i="8" s="1"/>
  <c r="J23" i="8" s="1"/>
  <c r="J24" i="8" s="1"/>
  <c r="J25" i="8" s="1"/>
  <c r="H29" i="8"/>
  <c r="B40" i="16"/>
  <c r="H18" i="10"/>
  <c r="I20" i="8"/>
  <c r="I21" i="8"/>
  <c r="I26" i="8"/>
  <c r="J17" i="8" s="1"/>
  <c r="B38" i="16"/>
  <c r="C38" i="16" s="1"/>
  <c r="E33" i="16"/>
  <c r="F18" i="10"/>
  <c r="F16" i="10"/>
  <c r="G16" i="10" s="1"/>
  <c r="H16" i="10" s="1"/>
  <c r="J18" i="8" l="1"/>
  <c r="J19" i="8" s="1"/>
  <c r="I28" i="8"/>
  <c r="J27" i="8"/>
  <c r="K22" i="8" s="1"/>
  <c r="C39" i="16"/>
  <c r="D38" i="16"/>
  <c r="C20" i="2"/>
  <c r="K5" i="2"/>
  <c r="F19" i="10"/>
  <c r="J26" i="8" l="1"/>
  <c r="K17" i="8" s="1"/>
  <c r="K18" i="8" s="1"/>
  <c r="K19" i="8" s="1"/>
  <c r="G19" i="10"/>
  <c r="H19" i="10" s="1"/>
  <c r="K23" i="8"/>
  <c r="K24" i="8" s="1"/>
  <c r="K25" i="8" s="1"/>
  <c r="I12" i="10"/>
  <c r="I13" i="10" s="1"/>
  <c r="I15" i="10" s="1"/>
  <c r="I29" i="8"/>
  <c r="K6" i="2"/>
  <c r="K7" i="2" s="1"/>
  <c r="D39" i="16"/>
  <c r="C40" i="16"/>
  <c r="J21" i="8"/>
  <c r="J20" i="8"/>
  <c r="J28" i="8" l="1"/>
  <c r="J12" i="10" s="1"/>
  <c r="J13" i="10" s="1"/>
  <c r="J15" i="10" s="1"/>
  <c r="K26" i="8"/>
  <c r="L17" i="8" s="1"/>
  <c r="L18" i="8" s="1"/>
  <c r="L19" i="8" s="1"/>
  <c r="B41" i="16"/>
  <c r="C41" i="16" s="1"/>
  <c r="I18" i="10"/>
  <c r="I19" i="10" s="1"/>
  <c r="I16" i="10"/>
  <c r="K27" i="8"/>
  <c r="L22" i="8" s="1"/>
  <c r="D40" i="16"/>
  <c r="K21" i="8"/>
  <c r="K20" i="8"/>
  <c r="K8" i="2" l="1"/>
  <c r="J29" i="8"/>
  <c r="L23" i="8"/>
  <c r="L24" i="8" s="1"/>
  <c r="L25" i="8" s="1"/>
  <c r="L26" i="8"/>
  <c r="M17" i="8" s="1"/>
  <c r="D41" i="16"/>
  <c r="L21" i="8"/>
  <c r="L20" i="8"/>
  <c r="K28" i="8"/>
  <c r="J18" i="10"/>
  <c r="J19" i="10" s="1"/>
  <c r="B42" i="16"/>
  <c r="C42" i="16" s="1"/>
  <c r="J16" i="10"/>
  <c r="K9" i="2" l="1"/>
  <c r="L28" i="8"/>
  <c r="L12" i="10" s="1"/>
  <c r="L13" i="10" s="1"/>
  <c r="L15" i="10" s="1"/>
  <c r="D42" i="16"/>
  <c r="M18" i="8"/>
  <c r="M19" i="8" s="1"/>
  <c r="K12" i="10"/>
  <c r="K13" i="10" s="1"/>
  <c r="K15" i="10" s="1"/>
  <c r="K16" i="10" s="1"/>
  <c r="K29" i="8"/>
  <c r="L27" i="8"/>
  <c r="M22" i="8" s="1"/>
  <c r="L29" i="8" l="1"/>
  <c r="L16" i="10"/>
  <c r="M21" i="8"/>
  <c r="M20" i="8"/>
  <c r="M26" i="8"/>
  <c r="N17" i="8" s="1"/>
  <c r="M23" i="8"/>
  <c r="M24" i="8" s="1"/>
  <c r="M25" i="8" s="1"/>
  <c r="B43" i="16"/>
  <c r="C43" i="16" s="1"/>
  <c r="K18" i="10"/>
  <c r="B44" i="16"/>
  <c r="L18" i="10"/>
  <c r="D43" i="16" l="1"/>
  <c r="C44" i="16"/>
  <c r="K19" i="10"/>
  <c r="K10" i="2"/>
  <c r="M27" i="8"/>
  <c r="N22" i="8" s="1"/>
  <c r="N18" i="8"/>
  <c r="N19" i="8" s="1"/>
  <c r="M28" i="8"/>
  <c r="N26" i="8" l="1"/>
  <c r="O17" i="8" s="1"/>
  <c r="O18" i="8" s="1"/>
  <c r="O19" i="8" s="1"/>
  <c r="N23" i="8"/>
  <c r="N24" i="8" s="1"/>
  <c r="N25" i="8" s="1"/>
  <c r="K11" i="2"/>
  <c r="L19" i="10"/>
  <c r="M12" i="10"/>
  <c r="M13" i="10" s="1"/>
  <c r="M15" i="10" s="1"/>
  <c r="M29" i="8"/>
  <c r="N20" i="8"/>
  <c r="N21" i="8"/>
  <c r="D44" i="16"/>
  <c r="O20" i="8" l="1"/>
  <c r="O21" i="8"/>
  <c r="B45" i="16"/>
  <c r="C45" i="16" s="1"/>
  <c r="M18" i="10"/>
  <c r="M16" i="10"/>
  <c r="O26" i="8"/>
  <c r="P17" i="8" s="1"/>
  <c r="N28" i="8"/>
  <c r="N27" i="8"/>
  <c r="O22" i="8" s="1"/>
  <c r="K12" i="2" l="1"/>
  <c r="D45" i="16"/>
  <c r="M19" i="10"/>
  <c r="P18" i="8"/>
  <c r="P19" i="8" s="1"/>
  <c r="O23" i="8"/>
  <c r="O24" i="8" s="1"/>
  <c r="O25" i="8" s="1"/>
  <c r="O28" i="8" s="1"/>
  <c r="N12" i="10"/>
  <c r="N13" i="10" s="1"/>
  <c r="N15" i="10" s="1"/>
  <c r="N29" i="8"/>
  <c r="P26" i="8" l="1"/>
  <c r="Q17" i="8" s="1"/>
  <c r="Q18" i="8" s="1"/>
  <c r="Q19" i="8" s="1"/>
  <c r="O12" i="10"/>
  <c r="O13" i="10" s="1"/>
  <c r="O15" i="10" s="1"/>
  <c r="O29" i="8"/>
  <c r="B46" i="16"/>
  <c r="C46" i="16" s="1"/>
  <c r="N18" i="10"/>
  <c r="N19" i="10" s="1"/>
  <c r="N16" i="10"/>
  <c r="K13" i="2"/>
  <c r="O27" i="8"/>
  <c r="P22" i="8" s="1"/>
  <c r="P20" i="8"/>
  <c r="P21" i="8"/>
  <c r="O16" i="10" l="1"/>
  <c r="D46" i="16"/>
  <c r="B47" i="16"/>
  <c r="C47" i="16" s="1"/>
  <c r="O18" i="10"/>
  <c r="O19" i="10" s="1"/>
  <c r="P23" i="8"/>
  <c r="P24" i="8" s="1"/>
  <c r="P25" i="8" s="1"/>
  <c r="P28" i="8" s="1"/>
  <c r="Q20" i="8"/>
  <c r="Q21" i="8"/>
  <c r="Q26" i="8"/>
  <c r="R17" i="8" s="1"/>
  <c r="D47" i="16" l="1"/>
  <c r="R18" i="8"/>
  <c r="R19" i="8" s="1"/>
  <c r="P12" i="10"/>
  <c r="P13" i="10" s="1"/>
  <c r="P15" i="10" s="1"/>
  <c r="P29" i="8"/>
  <c r="K14" i="2"/>
  <c r="P27" i="8"/>
  <c r="Q22" i="8" s="1"/>
  <c r="R21" i="8" l="1"/>
  <c r="R20" i="8"/>
  <c r="R26" i="8"/>
  <c r="S17" i="8" s="1"/>
  <c r="B48" i="16"/>
  <c r="C48" i="16" s="1"/>
  <c r="P18" i="10"/>
  <c r="P19" i="10" s="1"/>
  <c r="P16" i="10"/>
  <c r="Q23" i="8"/>
  <c r="Q24" i="8" s="1"/>
  <c r="Q25" i="8" s="1"/>
  <c r="Q28" i="8" s="1"/>
  <c r="D48" i="16" l="1"/>
  <c r="Q27" i="8"/>
  <c r="R22" i="8" s="1"/>
  <c r="Q12" i="10"/>
  <c r="Q13" i="10" s="1"/>
  <c r="Q15" i="10" s="1"/>
  <c r="Q29" i="8"/>
  <c r="S18" i="8"/>
  <c r="S19" i="8" s="1"/>
  <c r="K15" i="2"/>
  <c r="R23" i="8" l="1"/>
  <c r="R24" i="8" s="1"/>
  <c r="R25" i="8" s="1"/>
  <c r="R28" i="8" s="1"/>
  <c r="B49" i="16"/>
  <c r="C49" i="16" s="1"/>
  <c r="Q18" i="10"/>
  <c r="Q19" i="10" s="1"/>
  <c r="S20" i="8"/>
  <c r="S21" i="8"/>
  <c r="S26" i="8"/>
  <c r="T17" i="8" s="1"/>
  <c r="Q16" i="10"/>
  <c r="K16" i="2" l="1"/>
  <c r="T18" i="8"/>
  <c r="T19" i="8" s="1"/>
  <c r="R12" i="10"/>
  <c r="R13" i="10" s="1"/>
  <c r="R15" i="10" s="1"/>
  <c r="R29" i="8"/>
  <c r="D49" i="16"/>
  <c r="R27" i="8"/>
  <c r="S22" i="8" s="1"/>
  <c r="R18" i="10" l="1"/>
  <c r="B50" i="16"/>
  <c r="C50" i="16" s="1"/>
  <c r="S23" i="8"/>
  <c r="S24" i="8" s="1"/>
  <c r="S25" i="8" s="1"/>
  <c r="S28" i="8" s="1"/>
  <c r="T26" i="8"/>
  <c r="U17" i="8" s="1"/>
  <c r="T21" i="8"/>
  <c r="T20" i="8"/>
  <c r="R16" i="10"/>
  <c r="S12" i="10" l="1"/>
  <c r="S13" i="10" s="1"/>
  <c r="S15" i="10" s="1"/>
  <c r="S16" i="10" s="1"/>
  <c r="S29" i="8"/>
  <c r="U18" i="8"/>
  <c r="U19" i="8" s="1"/>
  <c r="S27" i="8"/>
  <c r="T22" i="8" s="1"/>
  <c r="D50" i="16"/>
  <c r="R19" i="10"/>
  <c r="K17" i="2"/>
  <c r="T23" i="8" l="1"/>
  <c r="T24" i="8" s="1"/>
  <c r="T25" i="8" s="1"/>
  <c r="T28" i="8" s="1"/>
  <c r="U26" i="8"/>
  <c r="V17" i="8" s="1"/>
  <c r="B51" i="16"/>
  <c r="C51" i="16" s="1"/>
  <c r="S18" i="10"/>
  <c r="S19" i="10" s="1"/>
  <c r="U21" i="8"/>
  <c r="U20" i="8"/>
  <c r="D51" i="16" l="1"/>
  <c r="K18" i="2"/>
  <c r="T12" i="10"/>
  <c r="T13" i="10" s="1"/>
  <c r="T15" i="10" s="1"/>
  <c r="T29" i="8"/>
  <c r="V18" i="8"/>
  <c r="V19" i="8" s="1"/>
  <c r="T27" i="8"/>
  <c r="U22" i="8" s="1"/>
  <c r="B52" i="16" l="1"/>
  <c r="C52" i="16" s="1"/>
  <c r="T18" i="10"/>
  <c r="T19" i="10" s="1"/>
  <c r="T16" i="10"/>
  <c r="V20" i="8"/>
  <c r="V21" i="8"/>
  <c r="V26" i="8"/>
  <c r="W17" i="8" s="1"/>
  <c r="U23" i="8"/>
  <c r="U24" i="8" s="1"/>
  <c r="U25" i="8" s="1"/>
  <c r="U28" i="8" s="1"/>
  <c r="K19" i="2" l="1"/>
  <c r="U27" i="8"/>
  <c r="V22" i="8" s="1"/>
  <c r="V23" i="8" s="1"/>
  <c r="V24" i="8" s="1"/>
  <c r="V25" i="8" s="1"/>
  <c r="V28" i="8" s="1"/>
  <c r="W18" i="8"/>
  <c r="W19" i="8" s="1"/>
  <c r="U12" i="10"/>
  <c r="U13" i="10" s="1"/>
  <c r="U15" i="10" s="1"/>
  <c r="U16" i="10" s="1"/>
  <c r="U29" i="8"/>
  <c r="D52" i="16"/>
  <c r="V12" i="10" l="1"/>
  <c r="V13" i="10" s="1"/>
  <c r="V15" i="10" s="1"/>
  <c r="V16" i="10" s="1"/>
  <c r="V29" i="8"/>
  <c r="V27" i="8"/>
  <c r="W22" i="8" s="1"/>
  <c r="W20" i="8"/>
  <c r="W21" i="8"/>
  <c r="B53" i="16"/>
  <c r="C53" i="16" s="1"/>
  <c r="U18" i="10"/>
  <c r="W26" i="8"/>
  <c r="X17" i="8" s="1"/>
  <c r="D53" i="16" l="1"/>
  <c r="W23" i="8"/>
  <c r="W24" i="8" s="1"/>
  <c r="W25" i="8" s="1"/>
  <c r="W28" i="8" s="1"/>
  <c r="U19" i="10"/>
  <c r="K20" i="2"/>
  <c r="X18" i="8"/>
  <c r="X19" i="8" s="1"/>
  <c r="B54" i="16"/>
  <c r="C54" i="16" s="1"/>
  <c r="V18" i="10"/>
  <c r="K21" i="2" l="1"/>
  <c r="V19" i="10"/>
  <c r="D54" i="16"/>
  <c r="W12" i="10"/>
  <c r="W13" i="10" s="1"/>
  <c r="W15" i="10" s="1"/>
  <c r="W29" i="8"/>
  <c r="W27" i="8"/>
  <c r="X22" i="8" s="1"/>
  <c r="X21" i="8"/>
  <c r="X20" i="8"/>
  <c r="X26" i="8"/>
  <c r="Y17" i="8" s="1"/>
  <c r="B55" i="16" l="1"/>
  <c r="C55" i="16" s="1"/>
  <c r="W18" i="10"/>
  <c r="W16" i="10"/>
  <c r="Y18" i="8"/>
  <c r="Y19" i="8" s="1"/>
  <c r="X23" i="8"/>
  <c r="X24" i="8" s="1"/>
  <c r="X25" i="8" s="1"/>
  <c r="X28" i="8" s="1"/>
  <c r="X12" i="10" l="1"/>
  <c r="X13" i="10" s="1"/>
  <c r="X15" i="10" s="1"/>
  <c r="X29" i="8"/>
  <c r="X16" i="10"/>
  <c r="Y20" i="8"/>
  <c r="Y21" i="8"/>
  <c r="Y26" i="8"/>
  <c r="W19" i="10"/>
  <c r="K22" i="2"/>
  <c r="X27" i="8"/>
  <c r="Y22" i="8" s="1"/>
  <c r="D55" i="16"/>
  <c r="Y23" i="8" l="1"/>
  <c r="Y24" i="8" s="1"/>
  <c r="Y25" i="8" s="1"/>
  <c r="Y28" i="8" s="1"/>
  <c r="B56" i="16"/>
  <c r="C56" i="16" s="1"/>
  <c r="X18" i="10"/>
  <c r="K23" i="2" s="1"/>
  <c r="Y12" i="10" l="1"/>
  <c r="Y13" i="10" s="1"/>
  <c r="Y15" i="10" s="1"/>
  <c r="Y29" i="8"/>
  <c r="D56" i="16"/>
  <c r="Y27" i="8"/>
  <c r="X19" i="10"/>
  <c r="B57" i="16" l="1"/>
  <c r="C57" i="16" s="1"/>
  <c r="Y18" i="10"/>
  <c r="Y19" i="10" s="1"/>
  <c r="C5" i="2" s="1"/>
  <c r="Y16" i="10"/>
  <c r="C3" i="2" l="1"/>
  <c r="E3" i="2"/>
  <c r="E9" i="2"/>
  <c r="K24" i="2"/>
  <c r="C6" i="2" s="1"/>
  <c r="D57" i="16"/>
  <c r="H36" i="16"/>
  <c r="H38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João Gallo</author>
  </authors>
  <commentList>
    <comment ref="C15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João Gallo:
Inclui Serviços Astra Carbon no CAPEX apenas quando Fee Astra = 0% (PREMISSAS!C114). Se houver fee, Astra remunerada via fee recorrente, não via CAPEX.</t>
        </r>
      </text>
    </comment>
  </commentList>
</comments>
</file>

<file path=xl/sharedStrings.xml><?xml version="1.0" encoding="utf-8"?>
<sst xmlns="http://schemas.openxmlformats.org/spreadsheetml/2006/main" count="1384" uniqueCount="1014">
  <si>
    <t>INDICADORES FINANCEIROS  |  VPL, TIR, Payback</t>
  </si>
  <si>
    <t>VPL</t>
  </si>
  <si>
    <t>TIR</t>
  </si>
  <si>
    <t>Helper: Ano</t>
  </si>
  <si>
    <t>FCL Desc. Acum.</t>
  </si>
  <si>
    <t>PAYBACK (anos)</t>
  </si>
  <si>
    <t>CAPEX TOTAL</t>
  </si>
  <si>
    <t>Payback Descontado (anos)</t>
  </si>
  <si>
    <t>RECEITA BRUTA MÉDIA (anual)</t>
  </si>
  <si>
    <t>EBITDA MÉDIO (anual)</t>
  </si>
  <si>
    <t>MARGEM EBITDA MÉDIA</t>
  </si>
  <si>
    <t>FCL TOTAL 20 ANOS</t>
  </si>
  <si>
    <t>RESUMO OPERACIONAL — ANO BASE</t>
  </si>
  <si>
    <t>Alimentação do reator</t>
  </si>
  <si>
    <t>t/ano</t>
  </si>
  <si>
    <t>Produção de biochar</t>
  </si>
  <si>
    <t>Créditos certificáveis</t>
  </si>
  <si>
    <t>tCO₂e</t>
  </si>
  <si>
    <t>Dias de operação efetiva</t>
  </si>
  <si>
    <t>dias</t>
  </si>
  <si>
    <t>Meses de calendário</t>
  </si>
  <si>
    <t>meses</t>
  </si>
  <si>
    <t>Receita bruta carbono</t>
  </si>
  <si>
    <t>R$</t>
  </si>
  <si>
    <t>OPEX total</t>
  </si>
  <si>
    <t>EBITDA</t>
  </si>
  <si>
    <t>FCL</t>
  </si>
  <si>
    <t>Consumo elétrico (kWh/t ativo)</t>
  </si>
  <si>
    <t>kWh/t</t>
  </si>
  <si>
    <t>Modalidade eletrica</t>
  </si>
  <si>
    <t>contrato base</t>
  </si>
  <si>
    <t>BIOCHAR CARBON NOVA ESPERANÇA</t>
  </si>
  <si>
    <t>Modelo Financeiro de Projeto</t>
  </si>
  <si>
    <t>Pirólise de Biomassa Residual de Eucalipto — Créditos de Carbono Voluntários</t>
  </si>
  <si>
    <t>INFORMAÇÕES DO PROJETO</t>
  </si>
  <si>
    <t>Projeto</t>
  </si>
  <si>
    <t>BCNE — Biochar Carbon Nova Esperança</t>
  </si>
  <si>
    <t>Tecnologia</t>
  </si>
  <si>
    <t>Pirólise lenta — Beston BST-30</t>
  </si>
  <si>
    <t>Horizonte</t>
  </si>
  <si>
    <t>20 anos (2026–2045) + Ano 0 investimento (2025)</t>
  </si>
  <si>
    <t>Biomassa</t>
  </si>
  <si>
    <t>Resíduos lenhosos de colheita florestal (E. grandis × urophylla)</t>
  </si>
  <si>
    <t>Produto</t>
  </si>
  <si>
    <t>Créditos de carbono (Puro.Earth / EBC) + biochar (opcional)</t>
  </si>
  <si>
    <t>Localização</t>
  </si>
  <si>
    <t>Horto florestal — Nova Esperança</t>
  </si>
  <si>
    <t>Moeda</t>
  </si>
  <si>
    <t>R$ (Reais brasileiros) | Preço carbono em USD</t>
  </si>
  <si>
    <t>Versão do modelo</t>
  </si>
  <si>
    <t>v7 — Metodologia mássica Pincelli | Abril 2026</t>
  </si>
  <si>
    <t>Preparado por</t>
  </si>
  <si>
    <t>Astra Carbon</t>
  </si>
  <si>
    <t>Metodologia biomassa</t>
  </si>
  <si>
    <t>Pincelli et al. (2017) Scientia Forestalis v.45 n.115 — abordagem mássica direta</t>
  </si>
  <si>
    <t>ESTRUTURA DO MODELO</t>
  </si>
  <si>
    <t>PREMISSAS</t>
  </si>
  <si>
    <t>Inputs editáveis (azul) — cadeia de biomassa mássica, preços, energia, OPEX, financeiros</t>
  </si>
  <si>
    <t>CÁLCULO</t>
  </si>
  <si>
    <t>Cadeia biomassa → biochar → créditos certificáveis (20 anos)</t>
  </si>
  <si>
    <t>CAPEX</t>
  </si>
  <si>
    <t>Investimento inicial com breakdown e depreciação</t>
  </si>
  <si>
    <t>OPEX</t>
  </si>
  <si>
    <t>Custos operacionais variáveis e fixos projetados (20 anos)</t>
  </si>
  <si>
    <t>RECEITA</t>
  </si>
  <si>
    <t>Receita bruta/líquida: créditos de carbono + biochar opcional</t>
  </si>
  <si>
    <t>DRE_FCL</t>
  </si>
  <si>
    <t>Demonstrativo de resultado + Fluxo de caixa livre</t>
  </si>
  <si>
    <t>INDICADORES</t>
  </si>
  <si>
    <t>VPL, TIR, Payback, métricas operacionais ano-base</t>
  </si>
  <si>
    <t>SENSIBILIDADE</t>
  </si>
  <si>
    <t>Tabelas bidimensionais: TIR × preço × volume × CAPEX</t>
  </si>
  <si>
    <t>CENÁRIOS</t>
  </si>
  <si>
    <t>4 cenários editáveis: Conservador, Base, Otimista, Premium</t>
  </si>
  <si>
    <t>ENERGIA</t>
  </si>
  <si>
    <t>Detalhamento de consumo e custo energético CEMIG A4 Azul</t>
  </si>
  <si>
    <t>DASHBOARD</t>
  </si>
  <si>
    <t>Gráficos dinâmicos: composição CAPEX, OPEX, EBITDA, FCL</t>
  </si>
  <si>
    <t>CONVENÇÕES DE FORMATAÇÃO</t>
  </si>
  <si>
    <t>Texto azul</t>
  </si>
  <si>
    <t>Input editável (hardcoded) — altere para cenários</t>
  </si>
  <si>
    <t>Texto preto</t>
  </si>
  <si>
    <t>Fórmula ou cálculo — NÃO editar</t>
  </si>
  <si>
    <t>Texto verde</t>
  </si>
  <si>
    <t>Link entre abas (cross-sheet reference)</t>
  </si>
  <si>
    <t>Fundo azul claro</t>
  </si>
  <si>
    <t>Célula de input</t>
  </si>
  <si>
    <t>Fundo amarelo claro</t>
  </si>
  <si>
    <t>Célula calculada</t>
  </si>
  <si>
    <t>DISCLAIMER: Este modelo é ferramenta de análise e não constitui recomendação de investimento.</t>
  </si>
  <si>
    <t>GLOSSÁRIO DE APRESENTAÇÃO — Termos técnicos, acrônimos e jargões do modelo BCNE</t>
  </si>
  <si>
    <t>Use este guia para antecipar perguntas. ⚠️ = ponto crítico que provavelmente será questionado.</t>
  </si>
  <si>
    <t>Termo / Acrônimo</t>
  </si>
  <si>
    <t>Onde aparece</t>
  </si>
  <si>
    <t>O que significa em linguagem simples</t>
  </si>
  <si>
    <t>Atenção / Resposta sugerida</t>
  </si>
  <si>
    <t>1. METODOLOGIA E BIOMASSA</t>
  </si>
  <si>
    <t>Pirólise lenta</t>
  </si>
  <si>
    <t>CAPA, PREMISSAS A</t>
  </si>
  <si>
    <t>Aquecimento da biomassa a 400–700 °C sem oxigênio, transformando madeira em biochar (carvão vegetal estável).</t>
  </si>
  <si>
    <t>Biochar</t>
  </si>
  <si>
    <t>Modelo todo</t>
  </si>
  <si>
    <t>Carvão vegetal sólido produzido pela pirólise; estoca carbono por séculos quando aplicado ao solo.</t>
  </si>
  <si>
    <t>Metodologia mássica / Pincelli et al. (2017)</t>
  </si>
  <si>
    <t>PREMISSAS A, CAPA</t>
  </si>
  <si>
    <t>Abordagem que calcula resíduo florestal por massa (toneladas) em vez de volume (m³). Pincelli é o artigo científico de referência (Scientia Forestalis).</t>
  </si>
  <si>
    <t>⚠️ Pode ser questionado por que escolheu essa metodologia. Resposta: é a referência acadêmica brasileira para E. grandis × urophylla, dá rastreabilidade auditável.</t>
  </si>
  <si>
    <t>E. grandis × E. urophylla (clone I144)</t>
  </si>
  <si>
    <t>PREMISSAS C6, CAPA</t>
  </si>
  <si>
    <t>Híbrido de eucalipto mais plantado no Brasil para celulose e energia. I144 é um clone comercial específico.</t>
  </si>
  <si>
    <t>Densidade básica do fuste</t>
  </si>
  <si>
    <t>PREMISSAS C6</t>
  </si>
  <si>
    <t>Massa seca de madeira por m³ de tronco. Converte volume colhido em toneladas.</t>
  </si>
  <si>
    <t>Cominuição</t>
  </si>
  <si>
    <t>PREMISSAS A, C</t>
  </si>
  <si>
    <t>Trituração / moagem da biomassa em partículas menores antes de entrar no reator.</t>
  </si>
  <si>
    <t>Termo técnico — pode preferir dizer 'trituração' na fala.</t>
  </si>
  <si>
    <t>Fração lenhosa</t>
  </si>
  <si>
    <t>PREMISSAS C8</t>
  </si>
  <si>
    <t>Parte do resíduo de campo que é madeira aproveitável (vs. folhas/casca fina que se perdem).</t>
  </si>
  <si>
    <t>Fuste</t>
  </si>
  <si>
    <t>Tronco principal da árvore (sem galhos e copa).</t>
  </si>
  <si>
    <t>Rendimento da pirólise</t>
  </si>
  <si>
    <t>PREMISSAS C28</t>
  </si>
  <si>
    <t>% da biomassa seca que vira biochar. No modelo: 30% (de cada 1 t de madeira saem 300 kg de biochar).</t>
  </si>
  <si>
    <t>⚠️ Pergunta provável: 'por que 30%?'. Resposta: faixa típica do BST-30 com madeira é 25–35%, base conservadora.</t>
  </si>
  <si>
    <t>2. CRÉDITOS DE CARBONO E CERTIFICAÇÃO</t>
  </si>
  <si>
    <t>tCO₂e (toneladas de CO₂ equivalente)</t>
  </si>
  <si>
    <t>PREMISSAS B, INDICADORES</t>
  </si>
  <si>
    <t>Unidade padrão de crédito de carbono. 1 crédito = 1 tonelada de CO₂ evitada/sequestrada.</t>
  </si>
  <si>
    <t>Fator de carbono (2,72 tCO₂e/t biochar)</t>
  </si>
  <si>
    <t>PREMISSAS C32</t>
  </si>
  <si>
    <t>Quanto CO₂ cada tonelada de biochar representa. Vem do carbono fixo × 44/12 (razão entre massa molecular de CO₂ e C).</t>
  </si>
  <si>
    <t>⚠️ Se questionado o '44/12': átomo de carbono pesa 12, molécula de CO₂ pesa 44. É conversião estequiométrica padrão.</t>
  </si>
  <si>
    <t>C-loss / Desconto de permanência</t>
  </si>
  <si>
    <t>Desconto aplicado para refletir que parte do carbono pode degradar ao longo do tempo. Modelo usa 10%.</t>
  </si>
  <si>
    <t>⚠️ Padrão exigido pelas certificadoras EBC/Puro.Earth (faixa 8–15%).</t>
  </si>
  <si>
    <t>EBC (European Biochar Certificate)</t>
  </si>
  <si>
    <t>PREMISSAS, CAPA</t>
  </si>
  <si>
    <t>Certificado europeu de biochar; estabelece padrões de qualidade e contabilidade de carbono.</t>
  </si>
  <si>
    <t>Puro.Earth</t>
  </si>
  <si>
    <t>Plataforma/registro de créditos de carbono de remoção de longa duração (carbon removal).</t>
  </si>
  <si>
    <t>MRV (Monitoring, Reporting &amp; Verification)</t>
  </si>
  <si>
    <t>PREMISSAS F, CAPEX</t>
  </si>
  <si>
    <t>Sistema de Monitoramento, Relato e Verificação exigido para emitir créditos de carbono credíveis.</t>
  </si>
  <si>
    <t>⚠️ Acrônimo crítico — explicar na primeira menção.</t>
  </si>
  <si>
    <t>ACV (Análise de Ciclo de Vida)</t>
  </si>
  <si>
    <t>PREMISSAS F</t>
  </si>
  <si>
    <t>Estudo que mede o impacto ambiental do projeto do berço ao tumulo (insumos, processo, transporte, uso final).</t>
  </si>
  <si>
    <t>LCA (Life Cycle Assessment)</t>
  </si>
  <si>
    <t>PREMISSAS D</t>
  </si>
  <si>
    <t>Mesmo que ACV — a sigla em inglês. 'Renovação LCA' = atualização anual da ACV exigida pela certificação.</t>
  </si>
  <si>
    <t>⚠️ Aparece em inglês e português no mesmo modelo. Padronizar discurso.</t>
  </si>
  <si>
    <t>Mercado voluntário</t>
  </si>
  <si>
    <t>PREMISSAS C34</t>
  </si>
  <si>
    <t>Compradores que adquirem créditos por escolha (ESG, net zero), não por obrigação regulatória.</t>
  </si>
  <si>
    <t>⚠️ Pergunta provável: 'e o preço de USD 170/t é real?'. Faixa de remoção de alta qualidade (biochar/DAC) negocia entre USD 100–250.</t>
  </si>
  <si>
    <t>3. ENERGIA E TARIFAS CEMIG</t>
  </si>
  <si>
    <t>Cemig A4 Verde</t>
  </si>
  <si>
    <t>PREMISSAS C, E</t>
  </si>
  <si>
    <t>Modalidade tarifária da Cemig para clientes industriais conectados em média tensão (2,3 a 25 kV). 'Verde' = tarifa única de demanda (sem distinção ponta/fora ponta na demanda).</t>
  </si>
  <si>
    <t>⚠️ Pergunta crítica. Diferença vs. A4 Azul: Azul tem demanda separada para ponta e fora ponta; Verde tem demanda única + consumo diferenciado.</t>
  </si>
  <si>
    <t>Demanda contratada (kW)</t>
  </si>
  <si>
    <t>PREMISSAS E</t>
  </si>
  <si>
    <t>Potência que a empresa contrata firme com a Cemig. Paga mês a mês mesmo sem consumir.</t>
  </si>
  <si>
    <t>⚠️ Custo fixo anual de 12 meses, mesmo operando 6 meses. Justificativa: contrato e infraestrutura de rede.</t>
  </si>
  <si>
    <t>Demanda de ultrapassagem</t>
  </si>
  <si>
    <t>Multa de 2x a tarifa quando o consumo excede a demanda contratada (&gt;5% acima).</t>
  </si>
  <si>
    <t>Horário de ponta / fora ponta</t>
  </si>
  <si>
    <t>Ponta = 17h-20h em dias úteis (energia mais cara). Fora ponta = restante (mais barata). Modelo programa trituração fora de ponta.</t>
  </si>
  <si>
    <t>Gross-up de impostos (1,3113x)</t>
  </si>
  <si>
    <t>Multiplicador que converte tarifa 'sem impostos' em tarifa final paga (com ICMS, PIS, COFINS embutidos).</t>
  </si>
  <si>
    <t>Termo de engenharia tarifária. Em português: 'fator de bruto-líquido' ou simplesmente 'multiplicador de impostos'.</t>
  </si>
  <si>
    <t>kWh/t (consumo específico)</t>
  </si>
  <si>
    <t>PREMISSAS C, INDICADORES</t>
  </si>
  <si>
    <t>Energia elétrica gasta para processar 1 tonelada de biomassa. Modelo: 207 kWh/t.</t>
  </si>
  <si>
    <t>Roll-up por equipamento</t>
  </si>
  <si>
    <t>PREMISSAS C44, C45</t>
  </si>
  <si>
    <t>Soma das potências por equipamento (britador, secador, reator) em vez de usar o número único do fornecedor.</t>
  </si>
  <si>
    <t>Termo do mundo de modelagem; pode dizer 'consolidação por equipamento'.</t>
  </si>
  <si>
    <t>Resolução Homologatória ANEEL 3.459/2025</t>
  </si>
  <si>
    <t>Norma da agência reguladora que define as tarifas Cemig vigentes usadas no modelo.</t>
  </si>
  <si>
    <t>BST-30 (Beston)</t>
  </si>
  <si>
    <t>PREMISSAS A, F, CAPA</t>
  </si>
  <si>
    <t>Modelo do reator de pirólise comprado da fabricante chinesa Beston. Capacidade 1–1,5 t/h.</t>
  </si>
  <si>
    <t>Diesel S10</t>
  </si>
  <si>
    <t>Diesel com baixo teor de enxofre (10 ppm), padrão brasileiro. Usado no aquecimento de partida do reator.</t>
  </si>
  <si>
    <t>QGBT / MT / BT / AT</t>
  </si>
  <si>
    <t>PREMISSAS F (Instalação elétrica)</t>
  </si>
  <si>
    <t>QGBT = Quadro Geral de Baixa Tensão. MT = Média Tensão. BT = Baixa Tensão. AT = Alta Tensão.</t>
  </si>
  <si>
    <t>⚠️ Vários acrônimos juntos numa nota de célula (PREMISSAS!E97). Se alguém perguntar pelo CAPEX elétrico zerado, ter explicação pronta.</t>
  </si>
  <si>
    <t>4. TRIBUTÁRIO</t>
  </si>
  <si>
    <t>Lucro Real</t>
  </si>
  <si>
    <t>PREMISSAS G, I, TRIBUTAÇÃO</t>
  </si>
  <si>
    <t>Regime de tributação no qual IRPJ e CSLL incidem sobre o lucro contábil ajustado, não sobre receita.</t>
  </si>
  <si>
    <t>⚠️ Pergunta provável: 'por que Lucro Real e não Presumido?'. Resposta: receita projetada permite, e Lucro Real aproveita prejuízo fiscal nos primeiros anos.</t>
  </si>
  <si>
    <t>PIS / COFINS</t>
  </si>
  <si>
    <t>PREMISSAS I, TRIBUTAÇÃO</t>
  </si>
  <si>
    <t>Contribuições federais sobre receita. Lucro Real → regime não cumulativo (1,65% + 7,6%).</t>
  </si>
  <si>
    <t>⚠️ Créditos de carbono: ZERO de PIS/COFINS pela Lei 15.042/2024 art. 19 — vantagem fiscal importante para destacar.</t>
  </si>
  <si>
    <t>IRPJ / CSLL</t>
  </si>
  <si>
    <t>IRPJ = Imposto de Renda Pessoa Jurídica (15% + 10% adicional). CSLL = Contribuição Social sobre Lucro Líquido (9%).</t>
  </si>
  <si>
    <t>Lei 15.042/2024</t>
  </si>
  <si>
    <t>PREMISSAS I</t>
  </si>
  <si>
    <t>Lei brasileira que regulamentou o mercado de carbono e desonerou de PIS/COFINS a alienação de créditos.</t>
  </si>
  <si>
    <t>⚠️ Pode ser perguntado se isso é firme. Sim, está em lei sancionada. Apenas regulamentações operacionais pendentes.</t>
  </si>
  <si>
    <t>Prejuízo fiscal / Base negativa CSLL</t>
  </si>
  <si>
    <t>TRIBUTAÇÃO, PREMISSAS I</t>
  </si>
  <si>
    <t>Quando a empresa dá prejuízo, gera 'crédito fiscal' que abate impostos futuros, limitado a 30% do lucro do ano.</t>
  </si>
  <si>
    <t>SPE (Sociedade de Propósito Específico)</t>
  </si>
  <si>
    <t>Empresa criada apenas para o projeto. Isola riscos, facilita financiamento e governança.</t>
  </si>
  <si>
    <t>Adições / Exclusões fiscais</t>
  </si>
  <si>
    <t>Ajustes ao lucro contábil para chegar ao lucro real (despesas não dedutíveis somam, receitas isentas subtraem).</t>
  </si>
  <si>
    <t>Crédito de PIS/COFINS</t>
  </si>
  <si>
    <t>No regime não cumulativo, parte das despesas gera crédito que reduz o imposto a pagar.</t>
  </si>
  <si>
    <t>Modelo usa 0% de elegibilidade (premissa conservadora). Pode ser questionado: justificar como 'a definir com mapeamento de insumos'.</t>
  </si>
  <si>
    <t>5. FINANCEIRO E VALUATION</t>
  </si>
  <si>
    <t>VPL (Valor Presente Líquido)</t>
  </si>
  <si>
    <t>Soma dos fluxos de caixa futuros trazidos a valor de hoje pela WACC. VPL &gt; 0 → projeto cria valor.</t>
  </si>
  <si>
    <t>⚠️ VPL atual = -R$ 398 mil (negativo). Ter narrativa pronta: próximo do break-even, sensível a preço de carbono.</t>
  </si>
  <si>
    <t>TIR (Taxa Interna de Retorno)</t>
  </si>
  <si>
    <t>Taxa de desconto que zera o VPL. É o 'retorno do projeto'. Modelo: 8,9%.</t>
  </si>
  <si>
    <t>⚠️ TIR (8,9%) abaixo da WACC (10%) — explica VPL negativo. Coerente entre si.</t>
  </si>
  <si>
    <t>MIRR (TIR Modificada)</t>
  </si>
  <si>
    <t>Variante da TIR que assume reinvestimento dos fluxos à WACC (mais realista que TIR pura).</t>
  </si>
  <si>
    <t>MIRR = 9,6% &gt; TIR = 8,9%, indica que TIR pura penaliza o projeto.</t>
  </si>
  <si>
    <t>WACC (Custo Médio Ponderado de Capital)</t>
  </si>
  <si>
    <t>PREMISSAS G</t>
  </si>
  <si>
    <t>Taxa de retorno mínima exigida considerando custo de equity e dívida ponderados. Modelo: 10%.</t>
  </si>
  <si>
    <t>⚠️ Pergunta provável: 'como calculou 10%?'. Se for premissa, dizer claramente 'taxa-alvo do investidor', não cálculo CAPM.</t>
  </si>
  <si>
    <t>FCL (Fluxo de Caixa Livre)</t>
  </si>
  <si>
    <t>Caixa que sobra após pagar OPEX, impostos e CAPEX. É o que efetivamente vai para o acionista.</t>
  </si>
  <si>
    <t>DRE_FCL, INDICADORES</t>
  </si>
  <si>
    <t>Lucro antes de juros, impostos, depreciação e amortização. Proxy de geração de caixa operacional.</t>
  </si>
  <si>
    <t>EBIT</t>
  </si>
  <si>
    <t>Lucro antes de juros e impostos (EBITDA menos depreciação).</t>
  </si>
  <si>
    <t>Depreciação</t>
  </si>
  <si>
    <t>Reconhecimento contábil do desgaste dos ativos ao longo da vida útil. Não é saída de caixa.</t>
  </si>
  <si>
    <t>Payback / Payback Descontado</t>
  </si>
  <si>
    <t>Tempo para recuperar o CAPEX. Simples = soma de FCLs nominais. Descontado = traz fluxos a valor presente.</t>
  </si>
  <si>
    <t>⚠️ Payback simples = 10 anos; descontado = '&gt; horizonte' (não paga em 20 anos descontados). Coerente com VPL negativo.</t>
  </si>
  <si>
    <t>Capital de Giro / WC (Working Capital)</t>
  </si>
  <si>
    <t>DRE_FCL, PREMISSAS G</t>
  </si>
  <si>
    <t>Caixa imobilizado em recebíveis e estoques. Modelo tem toggle: caso-base = desligado.</t>
  </si>
  <si>
    <t>Se questionado: 'desligamos no caso-base; sensível ao prazo de recebimento dos créditos (6 meses)'.</t>
  </si>
  <si>
    <t>CAPEX / OPEX</t>
  </si>
  <si>
    <t>CAPEX = investimento (único, no Ano 0). OPEX = despesas operacionais recorrentes.</t>
  </si>
  <si>
    <t>Margem EBITDA</t>
  </si>
  <si>
    <t>EBITDA / Receita bruta. Modelo médio: 31,5%.</t>
  </si>
  <si>
    <t>Fee Astra Carbon</t>
  </si>
  <si>
    <t>PREMISSAS G, RECEITA</t>
  </si>
  <si>
    <t>Comissão da Astra (estruturadora) sobre receita bruta. Modelo: 0% no caso-base.</t>
  </si>
  <si>
    <t>⚠️ Se for apresentar para a própria Astra, esclarecer por que está zerado.</t>
  </si>
  <si>
    <t>Toggle</t>
  </si>
  <si>
    <t>Chave liga/desliga (1 ou 0) para ativar/desativar uma premissa no modelo (ex.: receita biochar, capital de giro).</t>
  </si>
  <si>
    <t>Anglicismo. Em português: 'chave' ou 'interruptor'.</t>
  </si>
  <si>
    <t>Hardcode / Hardcoded</t>
  </si>
  <si>
    <t>PREMISSAS C92, notas</t>
  </si>
  <si>
    <t>Valor digitado direto na célula (não vem de fórmula). Em finanças: 'input fixo'.</t>
  </si>
  <si>
    <t>Anglicismo. Pode dizer 'valor fixado' ou 'premissa direta'.</t>
  </si>
  <si>
    <t>Sanity check</t>
  </si>
  <si>
    <t>PREMISSAS C40</t>
  </si>
  <si>
    <t>Verificação rápida de coerência (óbvio bate?). Não é cálculo do modelo, só conferência.</t>
  </si>
  <si>
    <t>Anglicismo. Pode dizer 'teste de coerência'.</t>
  </si>
  <si>
    <t>Off-peak firm</t>
  </si>
  <si>
    <t>PREMISSAS C92</t>
  </si>
  <si>
    <t>Compromisso firme de operar fora de horário de ponta para reduzir custo de energia.</t>
  </si>
  <si>
    <t>Termo híbrido. Em português: 'operação firme fora de ponta'.</t>
  </si>
  <si>
    <t>Due diligence / Data room</t>
  </si>
  <si>
    <t>PREMISSAS F (notas)</t>
  </si>
  <si>
    <t>Due diligence = auditoria pré-investimento. Data room = repositório digital com documentos do projeto para o investidor analisar.</t>
  </si>
  <si>
    <t>PREMISSAS DO MODELO  |  Biochar Carbon Nova Esperança  v7 — Metodologia Mássica</t>
  </si>
  <si>
    <t>Azul = input editável  |  Amarelo = calculado  |  Coluna E = fonte/referência auditável</t>
  </si>
  <si>
    <t>Premissa</t>
  </si>
  <si>
    <t>Valor</t>
  </si>
  <si>
    <t>Unidade</t>
  </si>
  <si>
    <t>Fonte / Referência</t>
  </si>
  <si>
    <t>A — CADEIA DE BIOMASSA (Abordagem Mássica — Pincelli et al., 2017)</t>
  </si>
  <si>
    <t>Volume de colheita anual</t>
  </si>
  <si>
    <t>m³/ano</t>
  </si>
  <si>
    <t>Área concessionada; referência campo 2024</t>
  </si>
  <si>
    <t>t/m³</t>
  </si>
  <si>
    <t>E. grandis × E. urophylla clone I144, 7 anos — lit. 0,44–0,50</t>
  </si>
  <si>
    <t>Fração mássica de resíduo de campo (%)</t>
  </si>
  <si>
    <t>%</t>
  </si>
  <si>
    <t>Pincelli et al. (2017) Tab.1: 8,2 t/ha ÷ 136,4 t/ha = 6,0%. Resíduo total 60d pós-colheita.</t>
  </si>
  <si>
    <t>Fração lenhosa aproveitável (% resíduo)</t>
  </si>
  <si>
    <t>Pincelli et al. (2017) Tab.3: 74,9% madeira c/ casca no resíduo total</t>
  </si>
  <si>
    <t xml:space="preserve">  Massa de produção (t/ano)</t>
  </si>
  <si>
    <t>Calculado: volume colheita × densidade básica fuste</t>
  </si>
  <si>
    <t xml:space="preserve">  Massa de resíduo bruto de campo (t/ano)</t>
  </si>
  <si>
    <t>Calculado: massa produção × 6,0% (Pincelli 2017)</t>
  </si>
  <si>
    <t xml:space="preserve">  Fração lenhosa seca disponível (t/ano)</t>
  </si>
  <si>
    <t>Calculado: resíduo bruto × 74,9% fração lenhosa</t>
  </si>
  <si>
    <t xml:space="preserve">  Biomassa na porteira da planta (t/ano)</t>
  </si>
  <si>
    <t>Após perda no transporte</t>
  </si>
  <si>
    <t xml:space="preserve">  ALIMENTAÇÃO DO REATOR (t/ano)</t>
  </si>
  <si>
    <t>Após cominuição — BASE de todo o modelo</t>
  </si>
  <si>
    <t>Ciclo Operacional do Reator (Beston BST-30)</t>
  </si>
  <si>
    <t>Dias de operação por ciclo</t>
  </si>
  <si>
    <t>Beston: ciclo padrão operação contínua</t>
  </si>
  <si>
    <t>Dias de manutenção por ciclo</t>
  </si>
  <si>
    <t>Limpeza + manutenção preventiva</t>
  </si>
  <si>
    <t xml:space="preserve">  Disponibilidade efetiva do reator (%)</t>
  </si>
  <si>
    <t>Capacidade do reator (t seca/h)</t>
  </si>
  <si>
    <t>t/h</t>
  </si>
  <si>
    <t>Beston BST-30: 1,0–1,5 t/h; base conservadora</t>
  </si>
  <si>
    <t>Horas de operação por dia</t>
  </si>
  <si>
    <t>h/dia</t>
  </si>
  <si>
    <t>Operação contínua — reator industrial</t>
  </si>
  <si>
    <t xml:space="preserve">  Horas de operação efetiva/ano</t>
  </si>
  <si>
    <t>h/ano</t>
  </si>
  <si>
    <t xml:space="preserve">  Dias de operação efetiva/ano</t>
  </si>
  <si>
    <t>dias/ano</t>
  </si>
  <si>
    <t>Calculado: C15/C21/C22 (alimentação ÷ cap. reator ÷ h/dia). Alimenta: OPEX (mão de obra, manutenção), ENERGIA e indicadores operacionais.</t>
  </si>
  <si>
    <t xml:space="preserve">  Dias de calendário necessários/ano</t>
  </si>
  <si>
    <t xml:space="preserve">  Meses de calendário necessários/ano</t>
  </si>
  <si>
    <t>meses/ano</t>
  </si>
  <si>
    <t xml:space="preserve">  Número de ciclos de manutenção/ano</t>
  </si>
  <si>
    <t>ciclos</t>
  </si>
  <si>
    <t>Ciclos discretos: arredonda para cima para refletir startup/manutencao por ciclo inteiro.</t>
  </si>
  <si>
    <t>Rendimento da pirólise (%)</t>
  </si>
  <si>
    <t>Biochar/alimentação seca; BST-30+madeira: 25–35%. Base: 30%</t>
  </si>
  <si>
    <t>B — CRÉDITOS DE CARBONO E PREÇO</t>
  </si>
  <si>
    <t>Fator de carbono (tCO₂e / t biochar)</t>
  </si>
  <si>
    <t>tCO₂e/t</t>
  </si>
  <si>
    <t>EBC/Puro.Earth — carbono fixo × 44/12</t>
  </si>
  <si>
    <t>Preço do crédito de carbono (USD/tCO₂e)</t>
  </si>
  <si>
    <t>USD/tCO₂e</t>
  </si>
  <si>
    <t>Mercado voluntário — premissa base</t>
  </si>
  <si>
    <t>Taxa de câmbio USD/BRL</t>
  </si>
  <si>
    <t>R$/USD</t>
  </si>
  <si>
    <t>Câmbio fixo — atualizar conforme cenário</t>
  </si>
  <si>
    <t>Preço de venda do biochar (R$/t)</t>
  </si>
  <si>
    <t>R$/t</t>
  </si>
  <si>
    <t>Opcional — 0 = desligado</t>
  </si>
  <si>
    <t>Receita de biochar ativa? (1=Sim, 0=Não)</t>
  </si>
  <si>
    <t>1/0</t>
  </si>
  <si>
    <t>Toggle: ativa/desativa linha de receita biochar</t>
  </si>
  <si>
    <t>C - ENERGIA ELETRICA | Contrato Cemig A4 Verde - Montes Claros/MG</t>
  </si>
  <si>
    <t>Operacao real contratada</t>
  </si>
  <si>
    <t>Capacidade cominuicao (t seca/h)</t>
  </si>
  <si>
    <t>Linha de cominuicao trabalha 6h/dia; capacidade nominal 3-5 t/h, base 4 t/h.</t>
  </si>
  <si>
    <t>Potencia media cominuicao</t>
  </si>
  <si>
    <t>kW</t>
  </si>
  <si>
    <t>Roll-up fase 1: britagem/peneiramento + recirculacao media.</t>
  </si>
  <si>
    <t>Potencia media pirolise 24h</t>
  </si>
  <si>
    <t>Roll-up fase 2: secador + reator + auxiliares.</t>
  </si>
  <si>
    <t>kWh/t cominuicao</t>
  </si>
  <si>
    <t>kWh/t pirolise</t>
  </si>
  <si>
    <t>Consumo especifico processo</t>
  </si>
  <si>
    <t>Cominuicao 6h/dia + pirolise 24h/dia; secador tratado na pirolise.</t>
  </si>
  <si>
    <t>Consumo eletrico de startup por ciclo</t>
  </si>
  <si>
    <t>kWh/ciclo</t>
  </si>
  <si>
    <t>Auxiliares eletricos de partida; aquecimento principal via diesel/gas.</t>
  </si>
  <si>
    <t>Overhead startup anual</t>
  </si>
  <si>
    <t>kWh/ano</t>
  </si>
  <si>
    <t>Modalidade eletrica base</t>
  </si>
  <si>
    <t>Cemig A4 Verde 360 kW</t>
  </si>
  <si>
    <t>contrato</t>
  </si>
  <si>
    <t>Fixo no modelo: nao ha mais toggle de Modos A/B de eletricidade. Caso-base combina cominuicao fora ponta + gestao ativa de demanda.</t>
  </si>
  <si>
    <t>Consumo especifico processo (kWh/t)</t>
  </si>
  <si>
    <t>D — DIRECIONADORES DE OPEX</t>
  </si>
  <si>
    <t>Custo por operador (R$/mês)</t>
  </si>
  <si>
    <t>R$/mês</t>
  </si>
  <si>
    <t>Custo total com encargos</t>
  </si>
  <si>
    <t>Número de operadores</t>
  </si>
  <si>
    <t>pessoas</t>
  </si>
  <si>
    <t>Escala com meses de operação</t>
  </si>
  <si>
    <t>O&amp;M reator progressivo - taxa ano 1</t>
  </si>
  <si>
    <t>OPEX!13 aplica 1% no ano 1, 2% no ano 2, ... ate 10% no ano 10+ sobre o CAPEX do reator BST-30 (CAPEX!C6/PREMISSAS!C88). Sem prorrata por meses de campanha.</t>
  </si>
  <si>
    <t>Logística de coleta (R$/t biomassa)</t>
  </si>
  <si>
    <t>Custo de recolha no campo</t>
  </si>
  <si>
    <t>Logística de transporte (R$/t biomassa)</t>
  </si>
  <si>
    <t>Frete até a planta</t>
  </si>
  <si>
    <t>Auditoria e verificação anual (R$/ano)</t>
  </si>
  <si>
    <t>R$/ano</t>
  </si>
  <si>
    <t>Fixo anual de existencia do projeto</t>
  </si>
  <si>
    <t>Renovação LCA + relatório (R$/ano)</t>
  </si>
  <si>
    <t>Big bags e embalagem (R$/t biochar)</t>
  </si>
  <si>
    <t>R$/t biochar</t>
  </si>
  <si>
    <t>Taxa de mercado: ~R$21,37/t biochar (big bags industriais ~500 kg). ATENÇÃO: nota histórica dizia R$28.000/ano ÷ 1.310t (biomassa anterior). Com produção atual ~1.078t: custo anual ≈ R$23.037. Se orçamento-alvo for R$28.000/ano → taxa correta = R$25,97/t. Confirmar com engenharia.</t>
  </si>
  <si>
    <t>Material de laboratório (R$/t biochar)</t>
  </si>
  <si>
    <t>Taxa de mercado: ~R$30,53/t biochar (análises QC laboratoriais EBC/Puro.Earth). ATENÇÃO: nota histórica dizia R$40.000/ano ÷ 1.310t (biomassa anterior). Com produção atual ~1.078t: custo anual ≈ R$32.931. Se orçamento-alvo for R$40.000/ano → taxa correta = R$37,11/t. Confirmar com engenharia.</t>
  </si>
  <si>
    <t>Treinamento e outros fixos (R$/ano)</t>
  </si>
  <si>
    <t>E - TARIFAS CEMIG A4 VERDE (vigentes Res. Hom. ANEEL 3.459/2025)</t>
  </si>
  <si>
    <t>Demanda contratada Cemig</t>
  </si>
  <si>
    <t>Contrato assinado para 360 kW; obra de rede dimensionada para esta potencia.</t>
  </si>
  <si>
    <t>Tarifa demanda unica - sem impostos</t>
  </si>
  <si>
    <t>R$/kW mes</t>
  </si>
  <si>
    <t>Cemig A4 Verde, bandeira verde, antes de impostos.</t>
  </si>
  <si>
    <t>Tarifa consumo ponta - sem impostos</t>
  </si>
  <si>
    <t>R$/kWh</t>
  </si>
  <si>
    <t>Cemig A4 Verde, antes de impostos.</t>
  </si>
  <si>
    <t>Tarifa consumo fora ponta - sem impostos</t>
  </si>
  <si>
    <t>Dias uteis por semana</t>
  </si>
  <si>
    <t>dias/sem</t>
  </si>
  <si>
    <t>Ponta considerada apenas em dias uteis; fins de semana e feriados entram como fora ponta.</t>
  </si>
  <si>
    <t>Horas de ponta por dia util</t>
  </si>
  <si>
    <t>Cemig: 17h-20h em dias uteis; validar eventual excecao contratual/local na fatura.</t>
  </si>
  <si>
    <t>ICMS energia MG</t>
  </si>
  <si>
    <t>Premissa base industrial/comercial MG; revisar com contador para creditamento e enquadramento fiscal.</t>
  </si>
  <si>
    <t>PIS/PASEP Cemig</t>
  </si>
  <si>
    <t>Tabela Cemig PIS/COFINS Mar/2026: PASEP 1,25%. Atualizar mensalmente pela fatura.</t>
  </si>
  <si>
    <t>COFINS Cemig</t>
  </si>
  <si>
    <t>Tabela Cemig PIS/COFINS Mar/2026: COFINS 5,75%. Atualizar mensalmente pela fatura.</t>
  </si>
  <si>
    <t>Fator gross-up impostos</t>
  </si>
  <si>
    <t>x</t>
  </si>
  <si>
    <t>Replica fator Cemig Mar/2026 com ICMS 18%: ~1,3113.</t>
  </si>
  <si>
    <t>Demanda unica com impostos</t>
  </si>
  <si>
    <t>Consumo ponta com impostos</t>
  </si>
  <si>
    <t>Consumo fora ponta com impostos</t>
  </si>
  <si>
    <t>Fracao media de dias uteis</t>
  </si>
  <si>
    <t>Fracao ponta da pirolise 24h</t>
  </si>
  <si>
    <t>Media anual sem calendario de feriados; conservadora porque nao desconta feriados nacionais.</t>
  </si>
  <si>
    <t>Cominuição sempre fora ponta (consolidado)</t>
  </si>
  <si>
    <t>Premissa operacional — off-peak firm. C92 hardcoded.</t>
  </si>
  <si>
    <t>Caso-base combinado: 0. Cominuicao programada fora de ponta para reduzir custo A4 Verde.</t>
  </si>
  <si>
    <t>Tarifa efetiva consumo medio</t>
  </si>
  <si>
    <t>Media ponderada com impostos por perfil de operacao: pirolise 24h e cominuicao 6h/dia fora ponta.</t>
  </si>
  <si>
    <t>Demanda mensal contratada com impostos</t>
  </si>
  <si>
    <t>R$/mes</t>
  </si>
  <si>
    <t>Custo mensal de demanda ativa = kW contratado x tarifas de demanda ponta e fora ponta.</t>
  </si>
  <si>
    <t>Consumo diesel startup (L/ciclo)</t>
  </si>
  <si>
    <t>L/ciclo</t>
  </si>
  <si>
    <t>Beston BST-30 proposta p.4: 130-155 L/h x 1,0-1,5h; media adotada 178 L/ciclo.</t>
  </si>
  <si>
    <t>Preco diesel S10</t>
  </si>
  <si>
    <t>R$/L</t>
  </si>
  <si>
    <t>ANP/referencia MG industrial — abril 2026</t>
  </si>
  <si>
    <t>Custo anual diesel startup</t>
  </si>
  <si>
    <t>Ciclos/ano x L/ciclo x R$/L</t>
  </si>
  <si>
    <t>F — COMPONENTES DO CAPEX</t>
  </si>
  <si>
    <t>Instalação elétrica</t>
  </si>
  <si>
    <t>R$0 — custo 100% alocado à CEMIG por contrato. Obra de ramal MT/AT, QGBT, proteção seletiva, transformador e medição são de responsabilidade contratual da CEMIG como condição da conexão A4 Verde 360 kW. Documentar cláusula contratual específica no data room para due diligence.</t>
  </si>
  <si>
    <t>Terraplanagem e drenagem</t>
  </si>
  <si>
    <t>Infraestrutura civil</t>
  </si>
  <si>
    <t>Aquisição do reator BST-30</t>
  </si>
  <si>
    <t>Linha de cominuição / triturador</t>
  </si>
  <si>
    <t>Secador de biomassa</t>
  </si>
  <si>
    <t>Frete + seguro + sobressalentes</t>
  </si>
  <si>
    <t>Montagem e comissionamento</t>
  </si>
  <si>
    <t>Pequena Subestacao de energia</t>
  </si>
  <si>
    <t>Infraestrutura electrica cliente; transformador, QG, protecao e cabeamento MT/BT</t>
  </si>
  <si>
    <t>Análise de Ciclo de Vida — ACV</t>
  </si>
  <si>
    <t>Plano de MRV e data room</t>
  </si>
  <si>
    <t>Auditoria inicial / certificação</t>
  </si>
  <si>
    <t>Serviços Astra Carbon</t>
  </si>
  <si>
    <t>G — PARÂMETROS FINANCEIROS</t>
  </si>
  <si>
    <t>Vida útil depreciação — físico (anos)</t>
  </si>
  <si>
    <t>anos</t>
  </si>
  <si>
    <t>Linear; equipamentos + obras</t>
  </si>
  <si>
    <t>Taxa de desconto / WACC (%)</t>
  </si>
  <si>
    <t>Custo médio ponderado de capital</t>
  </si>
  <si>
    <t>Participação Astra Carbon (% receita)</t>
  </si>
  <si>
    <t>Fee sobre receita bruta</t>
  </si>
  <si>
    <t>Ano do investimento (Ano 0)</t>
  </si>
  <si>
    <t>ano</t>
  </si>
  <si>
    <t>CAPEX alocado neste ano</t>
  </si>
  <si>
    <t>Primeiro ano de operação</t>
  </si>
  <si>
    <t>Operação comercial inicia</t>
  </si>
  <si>
    <t>Meses de demanda eletrica fixa</t>
  </si>
  <si>
    <t>Fixo no caso-base: demanda contratada 360 kW faturada durante todo o ano. Consumo eletrico ocorre somente nos meses de operacao.</t>
  </si>
  <si>
    <t>Prazo recebimento créditos carbono (meses)</t>
  </si>
  <si>
    <t>Ciclo verificação + liquidação</t>
  </si>
  <si>
    <t>Considerar capital de giro no FCL? (1=Sim, 0=Não)</t>
  </si>
  <si>
    <t>1=aplica WC inicial (prazo × receita/12) no Ano 0. 0=desativa WC no FCL (caso-base atual). Toggle de simulação.</t>
  </si>
  <si>
    <t>I - PARAMETROS TRIBUTARIOS</t>
  </si>
  <si>
    <t>PIS creditos carbono (%)</t>
  </si>
  <si>
    <t>Regime não cumulativo — sem isenção (premissa conservadora)</t>
  </si>
  <si>
    <t>Alienacao sem incidencia de PIS/Pasep - Lei 15.042/2024, art. 19</t>
  </si>
  <si>
    <t>COFINS creditos carbono (%)</t>
  </si>
  <si>
    <t>Alienacao sem incidencia de Cofins - Lei 15.042/2024, art. 19</t>
  </si>
  <si>
    <t>PIS biochar saida (%)</t>
  </si>
  <si>
    <t>Regime nao cumulativo</t>
  </si>
  <si>
    <t>COFINS biochar saida (%)</t>
  </si>
  <si>
    <t>Fracao do OPEX caixa elegivel a credito PIS/COFINS (%)</t>
  </si>
  <si>
    <t>Premissa conservadora: manter 0 ate mapear insumos creditaveis</t>
  </si>
  <si>
    <t>Aliquota IRPJ (%)</t>
  </si>
  <si>
    <t>Adicional IRPJ (%)</t>
  </si>
  <si>
    <t>Sobre base anual acima do limite</t>
  </si>
  <si>
    <t>Limite anual adicional IRPJ (R$)</t>
  </si>
  <si>
    <t>Equivale a R$ 20 mil por mes</t>
  </si>
  <si>
    <t>Aliquota CSLL (%)</t>
  </si>
  <si>
    <t>Pessoas juridicas em geral</t>
  </si>
  <si>
    <t>Limite compensacao prejuizo fiscal (%)</t>
  </si>
  <si>
    <t>Limite de 30% sobre o lucro ajustado</t>
  </si>
  <si>
    <t>Limite compensacao base negativa CSLL (%)</t>
  </si>
  <si>
    <t>Adicoes fiscais recorrentes (R$/ano)</t>
  </si>
  <si>
    <t>Ajustes positivos manuais no lucro real</t>
  </si>
  <si>
    <t>Exclusoes fiscais recorrentes (R$/ano)</t>
  </si>
  <si>
    <t>Ajustes negativos manuais no lucro real</t>
  </si>
  <si>
    <t>CÁLCULO  |  Cadeia Biomassa → Biochar → Créditos</t>
  </si>
  <si>
    <t>Metodologia mássica (Pincelli 2017). Ano 0 = investimento, Anos 1–20 = operação.</t>
  </si>
  <si>
    <t>Variável</t>
  </si>
  <si>
    <t>Referência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</si>
  <si>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</si>
  <si>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</si>
  <si>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</si>
  <si>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</si>
  <si>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</si>
  <si>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</si>
  <si>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</si>
  <si>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</si>
  <si>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</si>
  <si>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</si>
  <si>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</si>
  <si>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</si>
  <si>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</si>
  <si>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</si>
  <si>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</si>
  <si>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</si>
  <si>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</si>
  <si>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</si>
  <si>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</si>
  <si>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</si>
  <si>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</si>
  <si>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PREMISSAS — cadeia mássica</t>
  </si>
  <si>
    <t>bio × rend</t>
  </si>
  <si>
    <t>Carbono fixado bruto</t>
  </si>
  <si>
    <t>biochar × fc</t>
  </si>
  <si>
    <t>CRÉDITOS LÍQUIDOS CERTIFICÁVEIS</t>
  </si>
  <si>
    <t>bruto − closs</t>
  </si>
  <si>
    <t>CAPEX  |  Investimento Inicial e Depreciação</t>
  </si>
  <si>
    <t>Componente</t>
  </si>
  <si>
    <t>Valor (R$)</t>
  </si>
  <si>
    <t>% Total</t>
  </si>
  <si>
    <t>Fonte</t>
  </si>
  <si>
    <t>Grid + distribuição interna</t>
  </si>
  <si>
    <t>Preparo do sítio</t>
  </si>
  <si>
    <t>Galpões, cercamento, acesso</t>
  </si>
  <si>
    <t>Reator de pirólise BST-30</t>
  </si>
  <si>
    <t>Equipamento principal importado</t>
  </si>
  <si>
    <t>Picador + moinho de martelos</t>
  </si>
  <si>
    <t>Pré-tratamento de umidade</t>
  </si>
  <si>
    <t>Importação + logística</t>
  </si>
  <si>
    <t>Engenheiro Beston + equipe local</t>
  </si>
  <si>
    <t>Transformador, QG, protecao e cabeamento MT/BT</t>
  </si>
  <si>
    <t>Análise de Ciclo de Vida (ACV)</t>
  </si>
  <si>
    <t>Parceria Gron — ACV inicial</t>
  </si>
  <si>
    <t>Framework + estrutura documental</t>
  </si>
  <si>
    <t>Auditoria e certificação inicial</t>
  </si>
  <si>
    <t>Validação de 3ª parte</t>
  </si>
  <si>
    <t>Originação+ Desenvolvimento + Certficação</t>
  </si>
  <si>
    <t>DEPRECIAÇÃO</t>
  </si>
  <si>
    <t>NOTA: Linha C22 é valor de referência. Depreciação real por ano em E22:Y22 (zera após vida útil).</t>
  </si>
  <si>
    <t>CAPEX Físico</t>
  </si>
  <si>
    <t>Depreciação anual — Ano 1 ref.</t>
  </si>
  <si>
    <t>Depreciação anual (D&amp;A) — lida pela DRE_FCL</t>
  </si>
  <si>
    <t>Vida útil</t>
  </si>
  <si>
    <t>RECEITA  |  Créditos de Carbono + Venda Opcional de Biochar</t>
  </si>
  <si>
    <t>Linha de Receita</t>
  </si>
  <si>
    <t>Fórmula</t>
  </si>
  <si>
    <t>Receita créditos carbono (tCO₂e × USD × fx)</t>
  </si>
  <si>
    <t>créditos×USD×fx</t>
  </si>
  <si>
    <t>cred×preço×fx</t>
  </si>
  <si>
    <t>Receita biochar (toggle × t × R$/t)</t>
  </si>
  <si>
    <t>toggle×t×R$/t</t>
  </si>
  <si>
    <t>toggle×bchar×preço</t>
  </si>
  <si>
    <t>RECEITA BRUTA TOTAL</t>
  </si>
  <si>
    <t>carb+bchar</t>
  </si>
  <si>
    <t xml:space="preserve">  (–) Fee Astra Carbon (% receita bruta)</t>
  </si>
  <si>
    <t>% × bruta</t>
  </si>
  <si>
    <t>astra×bruta</t>
  </si>
  <si>
    <t>(removida — receita líquida calculada no DRE_FCL)</t>
  </si>
  <si>
    <t>bruta+astra</t>
  </si>
  <si>
    <t>TRIBUTOS - LUCRO REAL</t>
  </si>
  <si>
    <t>PIS/COFINS sobre créditos de carbono: 9,25% (1,65% PIS + 7,6% COFINS) — sem isenção</t>
  </si>
  <si>
    <t>Creditos de carbono: sem incidencia de PIS/COFINS na alienacao (Lei 15.042/2024, art. 19). IRPJ/CSLL sobre lucro real anual com compensacao de prejuizo fiscal e base negativa de CSLL.</t>
  </si>
  <si>
    <t>Item</t>
  </si>
  <si>
    <t>Origem</t>
  </si>
  <si>
    <t>Referencia</t>
  </si>
  <si>
    <t>Receita creditos carbono</t>
  </si>
  <si>
    <t>-&gt; RECEITA!3</t>
  </si>
  <si>
    <t>Receita biochar</t>
  </si>
  <si>
    <t>-&gt; RECEITA!4</t>
  </si>
  <si>
    <t>Receita bruta total</t>
  </si>
  <si>
    <t>Calculado</t>
  </si>
  <si>
    <t>4+5</t>
  </si>
  <si>
    <t>PIS bruto - biochar</t>
  </si>
  <si>
    <t>biochar x aliquota</t>
  </si>
  <si>
    <t>COFINS bruto - biochar</t>
  </si>
  <si>
    <t>Base estimada de credito PIS/COFINS</t>
  </si>
  <si>
    <t>OPEX caixa x fracao elegivel</t>
  </si>
  <si>
    <t>Credito PIS estimado</t>
  </si>
  <si>
    <t>9 x aliquota PIS</t>
  </si>
  <si>
    <t>Credito COFINS estimado</t>
  </si>
  <si>
    <t>9 x aliquota COFINS</t>
  </si>
  <si>
    <t>PIS/COFINS líquidos (biochar + carbono)</t>
  </si>
  <si>
    <t>max(7+8-10-11,0) + carbono(4×alíquota)</t>
  </si>
  <si>
    <t>max(7+8-10-11,0)</t>
  </si>
  <si>
    <t>Lucro antes de IRPJ/CSLL</t>
  </si>
  <si>
    <t>equivale ao EBIT no modelo atual</t>
  </si>
  <si>
    <t>Adicoes fiscais</t>
  </si>
  <si>
    <t>ajuste manual</t>
  </si>
  <si>
    <t>Exclusoes fiscais</t>
  </si>
  <si>
    <t>Lucro real antes compensacoes</t>
  </si>
  <si>
    <t>13+14-15</t>
  </si>
  <si>
    <t>Prejuizo fiscal acumulado inicial</t>
  </si>
  <si>
    <t>saldo do ano anterior</t>
  </si>
  <si>
    <t>Compensacao de prejuizo fiscal</t>
  </si>
  <si>
    <t>limitada a 30%</t>
  </si>
  <si>
    <t>Base IRPJ</t>
  </si>
  <si>
    <t>16-18</t>
  </si>
  <si>
    <t>IRPJ 15%</t>
  </si>
  <si>
    <t>19 x aliquota</t>
  </si>
  <si>
    <t>Adicional IRPJ 10%</t>
  </si>
  <si>
    <t>base acima do limite anual</t>
  </si>
  <si>
    <t>Base negativa CSLL inicial</t>
  </si>
  <si>
    <t>Compensacao base negativa CSLL</t>
  </si>
  <si>
    <t>Base CSLL</t>
  </si>
  <si>
    <t>16-23</t>
  </si>
  <si>
    <t>CSLL 9%</t>
  </si>
  <si>
    <t>24 x aliquota</t>
  </si>
  <si>
    <t>Prejuizo fiscal acumulado final</t>
  </si>
  <si>
    <t>saldo para o proximo ano</t>
  </si>
  <si>
    <t>Base negativa CSLL final</t>
  </si>
  <si>
    <t>TRIBUTOS TOTAIS</t>
  </si>
  <si>
    <t>12 + 20 + 21 + 25</t>
  </si>
  <si>
    <t>Aliquota efetiva s/ receita bruta</t>
  </si>
  <si>
    <t>28 / 6</t>
  </si>
  <si>
    <t>OPEX  |  Custos Operacionais por Driver</t>
  </si>
  <si>
    <t>Estrutura separada por motor economico: por tonelada processada, por mes de campanha e fixos anuais de existencia do projeto.</t>
  </si>
  <si>
    <t>Item de Custo</t>
  </si>
  <si>
    <t>Classe</t>
  </si>
  <si>
    <t>Motor Economico</t>
  </si>
  <si>
    <t>CUSTOS POR TONELADA PROCESSADA</t>
  </si>
  <si>
    <t>Energia eletrica variavel - somente meses com operacao</t>
  </si>
  <si>
    <t>Por tonelada processada</t>
  </si>
  <si>
    <t>Consumo kWh de processo/startup x tarifa efetiva; meses sem operacao nao geram consumo do projeto</t>
  </si>
  <si>
    <t>Logistica de coleta</t>
  </si>
  <si>
    <t>R$/t biomassa</t>
  </si>
  <si>
    <t>Logistica de transporte</t>
  </si>
  <si>
    <t>Big bags e embalagem</t>
  </si>
  <si>
    <t>Material de laboratorio</t>
  </si>
  <si>
    <t>SUBTOTAL  CUSTOS POR TONELADA</t>
  </si>
  <si>
    <t>CUSTOS POR MES DE CAMPANHA</t>
  </si>
  <si>
    <t>Mao de obra operacional</t>
  </si>
  <si>
    <t>Por mes de campanha</t>
  </si>
  <si>
    <t>Operadores x salario x meses de calendario da campanha</t>
  </si>
  <si>
    <t>O&amp;M reator BST-30</t>
  </si>
  <si>
    <t>O&amp;M progressivo</t>
  </si>
  <si>
    <t>Ano n = MIN(n,10) x taxa ano 1 x CAPEX do reator BST-30; n=1 em 2027. Sem prorrata por meses de campanha.</t>
  </si>
  <si>
    <t>SUBTOTAL  CUSTOS POR MES DE CAMPANHA</t>
  </si>
  <si>
    <t>CUSTOS FIXOS ANUAIS DE EXISTENCIA</t>
  </si>
  <si>
    <t>Demanda contratada Cemig A4 Verde 360 kW - 12 meses</t>
  </si>
  <si>
    <t>Fixo anual</t>
  </si>
  <si>
    <t>Custo fixo do projeto: demanda unica contratada x 12 meses, inclusive meses sem operacao</t>
  </si>
  <si>
    <t>Auditoria e verificacao anual</t>
  </si>
  <si>
    <t>Obrigacao anual de conformidade / verificacao</t>
  </si>
  <si>
    <t>Renovacao LCA + relatorio</t>
  </si>
  <si>
    <t>Obrigacao anual de conformidade / relatorio</t>
  </si>
  <si>
    <t>Treinamento e outros fixos</t>
  </si>
  <si>
    <t>Custo recorrente de existencia do projeto</t>
  </si>
  <si>
    <t>Diesel startup</t>
  </si>
  <si>
    <t>Por ciclo (variável com biomassa)</t>
  </si>
  <si>
    <t>Ciclos/ano × L/ciclo × R$/L via PREMISSAS!C96=C27×C94×C95. Escala com biomassa através de C27 (ciclos/ano). Classificado aqui por conveniência; motor econômico é variável com operação.</t>
  </si>
  <si>
    <t>SUBTOTAL  FIXOS ANUAIS</t>
  </si>
  <si>
    <t>TOTAL OPEX ANUAL</t>
  </si>
  <si>
    <t>Tabela O&amp;M progressivo do reator BST-30</t>
  </si>
  <si>
    <t>Ano</t>
  </si>
  <si>
    <t>Ano operacional</t>
  </si>
  <si>
    <t>Taxa O&amp;M</t>
  </si>
  <si>
    <t>Base de c?lculo</t>
  </si>
  <si>
    <t>Valor O&amp;M (R$)</t>
  </si>
  <si>
    <t>Regra aplicada</t>
  </si>
  <si>
    <t>Nota: o percentual de O&amp;M incide sobre o CAPEX do reator BST-30 (CAPEX!C6), n?o sobre o CAPEX f?sico total. A partir do ano operacional 10, a taxa fica limitada a 10% ao ano.</t>
  </si>
  <si>
    <t>DRE SIMPLIFICADA + FLUXO DE CAIXA LIVRE</t>
  </si>
  <si>
    <t>Estrutura auditavel: cada linha referencia aba-fonte; tributos detalhados na aba TRIBUTOS.</t>
  </si>
  <si>
    <t>(–) CAPEX — Investimento inicial</t>
  </si>
  <si>
    <t>CAPEX!$C$15</t>
  </si>
  <si>
    <t>(+) Receita bruta total</t>
  </si>
  <si>
    <t>→ RECEITA!5</t>
  </si>
  <si>
    <t>(–) Fee Astra Carbon</t>
  </si>
  <si>
    <t>→ RECEITA!6</t>
  </si>
  <si>
    <t>(–) Total OPEX</t>
  </si>
  <si>
    <t>OPEX!22</t>
  </si>
  <si>
    <t>bruta+astra+opex</t>
  </si>
  <si>
    <t xml:space="preserve">  Margem EBITDA (%)</t>
  </si>
  <si>
    <t>EBITDA/Receita</t>
  </si>
  <si>
    <t>(–) Depreciação</t>
  </si>
  <si>
    <t>→ CAPEX!23</t>
  </si>
  <si>
    <t>EBITDA−D&amp;A</t>
  </si>
  <si>
    <t>(-) Tributos (PIS/COFINS + IRPJ/CSLL)</t>
  </si>
  <si>
    <t>TRIBUTOS</t>
  </si>
  <si>
    <t>-&gt; TRIBUTOS!28</t>
  </si>
  <si>
    <t>Lucro Líquido</t>
  </si>
  <si>
    <t>EBIT−IR</t>
  </si>
  <si>
    <t>(+) Add-back depreciação</t>
  </si>
  <si>
    <t>Não caixa</t>
  </si>
  <si>
    <t>reverso D&amp;A</t>
  </si>
  <si>
    <t>FCL — FLUXO DE CAIXA LIVRE</t>
  </si>
  <si>
    <t>CAPEX+LL+D&amp;A</t>
  </si>
  <si>
    <t>FCL Acumulado</t>
  </si>
  <si>
    <t>running sum</t>
  </si>
  <si>
    <t>Delta Capital de Giro</t>
  </si>
  <si>
    <t>WC recebíveis</t>
  </si>
  <si>
    <t>prazo×rec/12</t>
  </si>
  <si>
    <t>FCL incluindo Capital de Giro</t>
  </si>
  <si>
    <t>FCL+Delta WC</t>
  </si>
  <si>
    <t>FCL Acumulado c/ Capital de Giro</t>
  </si>
  <si>
    <t>Caso-base eletrico unico: Cemig A4 Verde 360 kW, cominuicao fora ponta e gestao ativa de demanda</t>
  </si>
  <si>
    <t>Caso-base eletrico: Cemig A4 Verde 360 kW; cominuicao fora ponta; pirolise 24h</t>
  </si>
  <si>
    <t>Indicadores consolidados do cenario base. Consumo = potencia x fator de utilizacao.</t>
  </si>
  <si>
    <t>Base Operacional</t>
  </si>
  <si>
    <t>Biomassa processada (ano base)</t>
  </si>
  <si>
    <t>Dias de operacao/ano</t>
  </si>
  <si>
    <t>Meses de calendario/ano</t>
  </si>
  <si>
    <t>Pico kW cominuicao completa</t>
  </si>
  <si>
    <t>Pico kW pirolise</t>
  </si>
  <si>
    <t>Pico tecnico sem gestao</t>
  </si>
  <si>
    <t>kWh/t Fase 1 - pre-processamento</t>
  </si>
  <si>
    <t>kWh/t Fase 2 - reator</t>
  </si>
  <si>
    <t>kWh/t startup overhead</t>
  </si>
  <si>
    <t>kWh/t all-in caso-base</t>
  </si>
  <si>
    <t>Indicadores de Custo</t>
  </si>
  <si>
    <t>Tarifa efetiva consumo A4 Verde</t>
  </si>
  <si>
    <t>Custo variavel anual de energia</t>
  </si>
  <si>
    <t>Ponta + fora ponta, com impostos</t>
  </si>
  <si>
    <t>Custo anual demanda contratada</t>
  </si>
  <si>
    <t>Demanda fixa 12 meses, inclusive meses sem operacao</t>
  </si>
  <si>
    <t>Custo energia eletrica total</t>
  </si>
  <si>
    <t>Consumo somente nos meses com operacao + demanda fixa anual</t>
  </si>
  <si>
    <t>R$/t variavel</t>
  </si>
  <si>
    <t>R$/t energia eletrica</t>
  </si>
  <si>
    <t>Memoria anual - kWh ponta/fora ponta e custo com impostos</t>
  </si>
  <si>
    <t>Consumo processo anual - cominuicao</t>
  </si>
  <si>
    <t>Assume 6h/dia programadas fora de ponta</t>
  </si>
  <si>
    <t>Consumo processo anual - pirolise</t>
  </si>
  <si>
    <t>Pirolise 24h/dia</t>
  </si>
  <si>
    <t>Startup eletrico anual</t>
  </si>
  <si>
    <t>Startup tratado como fora ponta no caso-base</t>
  </si>
  <si>
    <t>Consumo eletrico total all-in</t>
  </si>
  <si>
    <t>kWh ponta - pirolise</t>
  </si>
  <si>
    <t>Ponta media: 3h x 5/7 / 24; feriados nao descontados</t>
  </si>
  <si>
    <t>kWh ponta - cominuicao</t>
  </si>
  <si>
    <t>Caso-base 0: cominuicao fora de ponta</t>
  </si>
  <si>
    <t>kWh ponta total</t>
  </si>
  <si>
    <t>kWh fora ponta - pirolise</t>
  </si>
  <si>
    <t>kWh fora ponta - cominuicao</t>
  </si>
  <si>
    <t>kWh fora ponta - startup</t>
  </si>
  <si>
    <t>kWh fora ponta total</t>
  </si>
  <si>
    <t>Custo consumo ponta</t>
  </si>
  <si>
    <t>Tarifa ponta com PIS/COFINS + ICMS</t>
  </si>
  <si>
    <t>Custo consumo fora ponta</t>
  </si>
  <si>
    <t>Tarifa fora ponta com PIS/COFINS + ICMS</t>
  </si>
  <si>
    <t>Custo consumo total</t>
  </si>
  <si>
    <t>Custo variavel usado no OPEX</t>
  </si>
  <si>
    <t>Custo demanda 360 kW</t>
  </si>
  <si>
    <t>Demanda unica A4 Verde</t>
  </si>
  <si>
    <t>Energia eletrica total</t>
  </si>
  <si>
    <t>Componente termico de partida</t>
  </si>
  <si>
    <t>Energia eletrica + diesel</t>
  </si>
  <si>
    <t>R$/t energia + diesel</t>
  </si>
  <si>
    <t>Leitura tecnica</t>
  </si>
  <si>
    <t>Acao recomendada</t>
  </si>
  <si>
    <t>Contrato assinado</t>
  </si>
  <si>
    <t>Manter como base da obra e do OPEX.</t>
  </si>
  <si>
    <t>Referencia de alerta</t>
  </si>
  <si>
    <t>Confirmar criterio exato no contrato/fatura Cemig.</t>
  </si>
  <si>
    <t>Cominuicao completa + pirolise</t>
  </si>
  <si>
    <t>Nao e o caso-base financeiro; usar como alerta operacional.</t>
  </si>
  <si>
    <t>Com gestao ativa de demanda</t>
  </si>
  <si>
    <t>Operacao sequenciada para manter demanda medida &lt;= 360 kW; nao e um cenario alternativo.</t>
  </si>
  <si>
    <t>Alerta automatico</t>
  </si>
  <si>
    <t>Caso-base deve permanecer dentro do contrato, nao apenas dentro da tolerancia.</t>
  </si>
  <si>
    <t>Margem tecnica</t>
  </si>
  <si>
    <t>Margem apertada; requer protocolo operacional e acompanhamento da memoria de massa.</t>
  </si>
  <si>
    <t>Alocacao anual: meses com operacao vs meses sem operacao</t>
  </si>
  <si>
    <t>Tratamento no modelo</t>
  </si>
  <si>
    <t>Impacto financeiro</t>
  </si>
  <si>
    <t>Meses com operacao</t>
  </si>
  <si>
    <t>Derivado da biomassa disponivel e disponibilidade do reator</t>
  </si>
  <si>
    <t>Consumo eletrico de processo ocorre aqui</t>
  </si>
  <si>
    <t>Meses sem operacao</t>
  </si>
  <si>
    <t>Meses restantes do ano sem processamento de biomassa</t>
  </si>
  <si>
    <t>Consumo eletrico operacional = zero</t>
  </si>
  <si>
    <t>Consumo eletrico nos meses com operacao</t>
  </si>
  <si>
    <t>Custo variavel total ponta + fora ponta gerado pelo kWh operacional</t>
  </si>
  <si>
    <t>Entra no OPEX como energia variavel</t>
  </si>
  <si>
    <t>Consumo eletrico nos meses sem operacao</t>
  </si>
  <si>
    <t>Sem processamento, sem consumo operacional alocado ao projeto</t>
  </si>
  <si>
    <t>Nao entra no OPEX</t>
  </si>
  <si>
    <t>Demanda fixa durante operacao</t>
  </si>
  <si>
    <t>Parcela informativa da demanda anual durante meses de campanha</t>
  </si>
  <si>
    <t>Custo do projeto</t>
  </si>
  <si>
    <t>Demanda fixa sem operacao</t>
  </si>
  <si>
    <t>Parcela informativa da demanda anual nos meses ociosos</t>
  </si>
  <si>
    <t>Continua custo do projeto</t>
  </si>
  <si>
    <t>Demanda fixa total</t>
  </si>
  <si>
    <t>360 kW x 12 meses</t>
  </si>
  <si>
    <t>Entra integralmente no OPEX</t>
  </si>
  <si>
    <t>Energia eletrica total do projeto</t>
  </si>
  <si>
    <t>Consumo apenas na operacao + demanda nos 12 meses</t>
  </si>
  <si>
    <t>Base do OPEX eletrico anual</t>
  </si>
  <si>
    <t>ANALISE CEMIG A4 VERDE - BCNE</t>
  </si>
  <si>
    <t>Caso-base combinado: demanda contratada 360 kW, A4 Verde, cominuicao fora ponta e gestao ativa de demanda para respeitar o contrato.</t>
  </si>
  <si>
    <t>Tema</t>
  </si>
  <si>
    <t>Base</t>
  </si>
  <si>
    <t>Conclusao / acao</t>
  </si>
  <si>
    <t>Fonte tarifaria</t>
  </si>
  <si>
    <t>Cemig Tarifas Vigentes / Res. Hom. ANEEL 3.459/2025</t>
  </si>
  <si>
    <t>A4 Verde: demanda 22,81 R$/kW mes; consumo ponta 2,28496 R$/kWh; fora ponta 0,45 R$/kWh, antes de impostos.</t>
  </si>
  <si>
    <t>Impostos</t>
  </si>
  <si>
    <t>Cemig PIS/COFINS Mar/2026 + ICMS 18%</t>
  </si>
  <si>
    <t>PASEP 1,25%, COFINS 5,75%, fator gross-up ~1,3113. Atualizar mensalmente pela fatura.</t>
  </si>
  <si>
    <t>Horario de ponta</t>
  </si>
  <si>
    <t>Cemig</t>
  </si>
  <si>
    <t>17h-20h em dias uteis. Fins de semana e feriados nacionais tratados como fora ponta; modelo usa media 5/7 e nao desconta feriados.</t>
  </si>
  <si>
    <t>Demanda contratada</t>
  </si>
  <si>
    <t>360 kW. Pico simultaneo estimado com cominuicao completa + pirolise fica acima de 360 kW, mas abaixo de 360 kW + 5% no caso-base.</t>
  </si>
  <si>
    <t>Gestao operacional</t>
  </si>
  <si>
    <t>Engenharia eletrica</t>
  </si>
  <si>
    <t>Programar cominuicao fora do horario de ponta. Evitar partida de crusher/fine crusher simultanea com transientes do reator/secador.</t>
  </si>
  <si>
    <t>Risco contratual</t>
  </si>
  <si>
    <t>Cemig media tensao</t>
  </si>
  <si>
    <t>Se memoria de massa registrar demanda acima do limite contratual/tolerancia, aplica tarifa de ultrapassagem. Confirmar criterio exato no contrato.</t>
  </si>
  <si>
    <t>Rede interna</t>
  </si>
  <si>
    <t>Obra 360 kW</t>
  </si>
  <si>
    <t>Validar protecao, seletividade, partida/VFD, fator de potencia &gt;=0,92, banco de capacitores e medicao de demanda em 15 min.</t>
  </si>
  <si>
    <t>Modelo financeiro</t>
  </si>
  <si>
    <t>OPEX energia agora separa consumo ponta/fora ponta com impostos e demanda fixa A4 Verde 360 kW x 12 meses.</t>
  </si>
  <si>
    <t>Atualizacao do caso-base</t>
  </si>
  <si>
    <t>Caso-base combinado</t>
  </si>
  <si>
    <t>Operacao e contrato</t>
  </si>
  <si>
    <t>O modelo financeiro combina, como caso-base unico: cominuicao fora de ponta para reduzir consumo em HP + gestao ativa de demanda para manter demanda medida &lt;= 360 kW.</t>
  </si>
  <si>
    <t>Pico sem gestao</t>
  </si>
  <si>
    <t>Alerta tecnico</t>
  </si>
  <si>
    <t>Cominuicao completa + pirolise estima ~370,45 kW. Isso nao deve ser tratado como rotina operacional livre; e um alerta para sequenciamento.</t>
  </si>
  <si>
    <t>Pico gerenciado</t>
  </si>
  <si>
    <t>Base financeira</t>
  </si>
  <si>
    <t>Com gestao ativa fixa no caso-base, o caso-base assume demanda maxima gerenciada em 360 kW e custo de demanda contratado 360 kW x 12 meses.</t>
  </si>
  <si>
    <t>Protocolo operacional</t>
  </si>
  <si>
    <t>Gestao de rede</t>
  </si>
  <si>
    <t>Evitar partida simultanea de motores grandes, escalonar fine crusher, acompanhar memoria de massa de 15 min e manter fator de potencia &gt;=0,92.</t>
  </si>
  <si>
    <t>Contrato e OPEX</t>
  </si>
  <si>
    <t>O modelo trata consumo eletrico como custo apenas nos meses de operacao. A demanda contratada de 360 kW permanece custo fixo do projeto nos 12 meses, inclusive meses sem biomassa/processamento.</t>
  </si>
  <si>
    <t>Fase</t>
  </si>
  <si>
    <t>Entregáveis (escopo)</t>
  </si>
  <si>
    <t>Obs</t>
  </si>
  <si>
    <t>Enquadramento no mercado voluntário de carbono</t>
  </si>
  <si>
    <t>Critérios gerais de integridade (mercado voluntário), premissas de elegibilidade e implicações para MRV.</t>
  </si>
  <si>
    <t xml:space="preserve">Elegibilidade da área </t>
  </si>
  <si>
    <t>Analise de mudanças no uso do solo e comprovçao de posse</t>
  </si>
  <si>
    <t>Disponibilidade e sazonalidade</t>
  </si>
  <si>
    <t>Diagnóstico de massa anual, umidade, granulometria e variações sazonais.</t>
  </si>
  <si>
    <t>Logística preliminar</t>
  </si>
  <si>
    <t>Análise de Rotas/distâncias, densidade a granel/cavaco, capacidade de carga e cenários logísticos preliminares.</t>
  </si>
  <si>
    <t>Compatibilidade biomassa × processo</t>
  </si>
  <si>
    <t>Compatibilidade com pré-tratamento, secagem, alimentação e estabilidade operacional.</t>
  </si>
  <si>
    <t>Triagem de adicionalidade, elegibilidade e uso final</t>
  </si>
  <si>
    <t>Definição de linha de base, adicionalidade, elegibilidade, vazamentos e deslocamento e requisitos para aplicação do biochar no solo.</t>
  </si>
  <si>
    <t>Permanência/durabilidade preliminar</t>
  </si>
  <si>
    <t>Estimativa preliminar de durabilidade (Fp/equivalente) com base em premissas de produto e aplicação.</t>
  </si>
  <si>
    <t>Geração preliminar de biochar e créditos</t>
  </si>
  <si>
    <t>Estimativas preliminares de produção e créditos, com premissas transparentes.</t>
  </si>
  <si>
    <t>Análise de Viabilidade</t>
  </si>
  <si>
    <t>Subtotal — Análise de Viabilidade</t>
  </si>
  <si>
    <t>Definição da tecnologia de pirólise</t>
  </si>
  <si>
    <t>Matriz comparativa de rotas termoquímicas</t>
  </si>
  <si>
    <t>Comparação entre carbonização, gaseificação, torrefação e pirólise (trade-offs técnicos e MRV).</t>
  </si>
  <si>
    <t>Comparação por nível tecnológico</t>
  </si>
  <si>
    <t>Comparação entre baixa, média e alta tecnologia (qualidade, emissões, controle, replicabilidade).</t>
  </si>
  <si>
    <t>Benchmark de fabricantes e modelos</t>
  </si>
  <si>
    <t>Análise comparativa (datasheets, performance, garantias, layout, pós-venda).</t>
  </si>
  <si>
    <t>Risco de endosso/aceitação pelo padrão</t>
  </si>
  <si>
    <t>Análise de conformidade tecnológica com padrão-alvo (combustão de gases, controle e monitoramento).</t>
  </si>
  <si>
    <t>Simulações CAPEX/OPEX por modelo</t>
  </si>
  <si>
    <t>Simulações financeiras por fabricante/modelo (CAPEX/OPEX/TCO) com premissas documentadas.</t>
  </si>
  <si>
    <t>Requisitos técnicos do sistema – dimensionamento</t>
  </si>
  <si>
    <t>Requisitos por site: capacidade, regime de operação, energia, controles e emissões.</t>
  </si>
  <si>
    <t>Pré-tratamento e manuseio (PIC/PENEIRA/SECAGEM/ARMAZ)</t>
  </si>
  <si>
    <t>Especificação de pré-tratamento e manuseio (picagem, peneiramento, secagem, armazenamento e alimentação).</t>
  </si>
  <si>
    <t>Subtotal — Definição da tecnologia de pirólise</t>
  </si>
  <si>
    <t>Definição do padrão de certificação</t>
  </si>
  <si>
    <t>Due diligence de padrões/metodologias</t>
  </si>
  <si>
    <t>Análise de documentação, taxas e critérios: elegibilidade, adicionalidade, permanência, aplicação e MRV. - Sylvera</t>
  </si>
  <si>
    <t>Pago pela Viena</t>
  </si>
  <si>
    <t>Matriz comparativa + recomendação do padrão-alvo</t>
  </si>
  <si>
    <t>Matriz comparativa (feedstock, tecnologia, emissões, produto, uso e rastreabilidade) e recomendação. - Sylvera</t>
  </si>
  <si>
    <t>Arquitetura MRV + plano de evidências (templates)</t>
  </si>
  <si>
    <t>Estratégia MRV e plano de evidências padrão (checklists, trilha de auditoria, data room).</t>
  </si>
  <si>
    <t>Simulações financeiras por padrão (estrutura)</t>
  </si>
  <si>
    <t>Estrutura de simulações comparativas: custos de estudos, taxas, MRV e auditorias por padrão.</t>
  </si>
  <si>
    <t>Caminho de certificação e cronograma</t>
  </si>
  <si>
    <t>Caminho do projeto no padrão-alvo, milestones, entregáveis e cronograma por projeto.</t>
  </si>
  <si>
    <t>Plano de evidências por projeto</t>
  </si>
  <si>
    <t>Adequação do plano de evidências ao contexto local (biomassa, operação, aplicação).</t>
  </si>
  <si>
    <t>Preparação/coordenação para análise de terceira parte</t>
  </si>
  <si>
    <t>Preparação de narrativa, dados e submissões para avaliação de terceira parte (quando aplicável).</t>
  </si>
  <si>
    <t>Subtotal — Definição do padrão de certificação</t>
  </si>
  <si>
    <t>Modelo de negócios</t>
  </si>
  <si>
    <t>Estruturação do modelo de negócios (estratégia comercial)</t>
  </si>
  <si>
    <t>Definição de proposta de valor, produtos (biochar/créditos/co-produtos), canais e offtake.</t>
  </si>
  <si>
    <t>Financiamento – mapeamento de linhas e requisitos</t>
  </si>
  <si>
    <t>Mapeamento de linhas de financiamento e entendimento de requisitos bancários para projetos.</t>
  </si>
  <si>
    <t>Modelagem financeira + indicadores (FC, VPL, TIR, Payback)</t>
  </si>
  <si>
    <t>Projeção de fluxo de caixa e cálculo de indicadores financeiros com premissas do projeto.</t>
  </si>
  <si>
    <t>Cenários logísticos, sensibilidade e otimização</t>
  </si>
  <si>
    <t>Simulações de cenários logísticos e sensibilidades (frete, densidade, umidade, disponibilidade).</t>
  </si>
  <si>
    <t>Apoio em testes de campo (protocolo + relatório)</t>
  </si>
  <si>
    <t>Planejamento de coleta de dados, checklists e relatório técnico (suporte remoto).</t>
  </si>
  <si>
    <t>Subtotal — Modelo de negócios</t>
  </si>
  <si>
    <t>Certificação</t>
  </si>
  <si>
    <t xml:space="preserve">Framework QMS/QA/QC + Data Room </t>
  </si>
  <si>
    <t>Sistema de gestão da qualidade documental, controle de versões, trilha de auditoria e estrutura de data room.</t>
  </si>
  <si>
    <t xml:space="preserve">Templates MRV (SOPs, formulários e checklists) </t>
  </si>
  <si>
    <t>Conjunto mestre de ITs e formulários (pesagem, umidade, operação, lote, rastreabilidade, QA/QC).</t>
  </si>
  <si>
    <t>Final PDD (+ anexos padrão)</t>
  </si>
  <si>
    <t xml:space="preserve">Estrutura e textos-base conforme template do padrão-alvo; anexos padrão e referências. </t>
  </si>
  <si>
    <t>Governança pós-emissão (regras de lote, retenção, dados)</t>
  </si>
  <si>
    <t>Regras e processos para governança de dados e retenção de evidências pós-emissão.</t>
  </si>
  <si>
    <t>Cadeia de custódia e origem legal</t>
  </si>
  <si>
    <t>Documentos de origem, cadeia de custódia, conformidade legal da biomassa residual e condiçoes de trabalho</t>
  </si>
  <si>
    <t>Dossiê biomassa – sustentabilidade/manejo e evidências</t>
  </si>
  <si>
    <t>Evidências de manejo sustentável, políticas internas, controles e evidências complementares.</t>
  </si>
  <si>
    <t>LCA – inventário (LCI) e coleta de dados primários</t>
  </si>
  <si>
    <t>Inventário cradle-to-grave: coleta e consolidação de dados (upstream, processo, downstream até aplicação/uso final).</t>
  </si>
  <si>
    <t>LCA – modelagem e relatório auditável</t>
  </si>
  <si>
    <t>Modelagem e relatório auditável cradle-to-grave conforme ISO 14040/44 e requisitos do padrão (incl. sensibilidade).</t>
  </si>
  <si>
    <t>LCA – revisões e resposta a comentários (pré-auditoria)</t>
  </si>
  <si>
    <t>Revisões internas + resposta a comentários (validação/verificação) e ajustes finais.</t>
  </si>
  <si>
    <t>Ainda não executado</t>
  </si>
  <si>
    <t>Plano MRV – desenho do sistema e responsabilidades</t>
  </si>
  <si>
    <t>Definição de rotinas, responsabilidades e fluxo de dados (biomassa → processo → lote → aplicação). (incl. cadeia de custódia até aplicação/uso final)</t>
  </si>
  <si>
    <t>Plano MRV – treinamento inicial e handover</t>
  </si>
  <si>
    <t>Treinamento inicial e handover para operação assistida.</t>
  </si>
  <si>
    <t>Plano laboratorial – parâmetros e periodicidade</t>
  </si>
  <si>
    <t>critérios do padrão, periodicidade e qualificação de laboratórios acreditados.</t>
  </si>
  <si>
    <t>Preparação p/ validação/verificação do pacote de evidências</t>
  </si>
  <si>
    <t>Organização do pacote de evidências e data room do projeto para auditorias anuais</t>
  </si>
  <si>
    <t>Preparação p/ validação/verificação – auditoria interna documental</t>
  </si>
  <si>
    <t>Auditoria interna documental, checagens finais e fechamento de gaps.</t>
  </si>
  <si>
    <t>Suporte durante auditorias e fechamento de NCs</t>
  </si>
  <si>
    <t>Suporte técnico durante auditorias e fechamento de NCs.</t>
  </si>
  <si>
    <t>Coordenação com VVB/padrão (Q&amp;A e submissões intermediárias)</t>
  </si>
  <si>
    <t>Coordenação técnica para Q&amp;A e submissões intermediárias com padrão/VVB.</t>
  </si>
  <si>
    <t>Registro, emissão e governança operacional pós-emissão</t>
  </si>
  <si>
    <t>Suporte a registro/emissão e governança operacional (lotes, dados, retenção).</t>
  </si>
  <si>
    <t>Subtotal — Certificação</t>
  </si>
  <si>
    <t>Investimento Astra</t>
  </si>
  <si>
    <t>Investimento Viena</t>
  </si>
  <si>
    <t>Capex Total</t>
  </si>
  <si>
    <t>Participação Astra</t>
  </si>
  <si>
    <t>SENSIBILIDADE  |  Tabelas Bidimensionais</t>
  </si>
  <si>
    <t>Para análise completa, utilize a versão original ou a aba CENÁRIOS.</t>
  </si>
  <si>
    <t>ANÁLISE DE CENÁRIOS  |  Inputs Editáveis → Resultados Dinâmicos</t>
  </si>
  <si>
    <t>Edite as células azuis. Coluna BASE espelha PREMISSAS centrais.</t>
  </si>
  <si>
    <t>Premissa / Indicador</t>
  </si>
  <si>
    <t>CONSERVADOR</t>
  </si>
  <si>
    <t>BASE</t>
  </si>
  <si>
    <t>OTIMISTA</t>
  </si>
  <si>
    <t>PREMIUM</t>
  </si>
  <si>
    <t>A — PREMISSAS DE ENTRADA</t>
  </si>
  <si>
    <t>Preço crédito carbono</t>
  </si>
  <si>
    <t>Fração mássica resíduo (Pincelli)</t>
  </si>
  <si>
    <t>Rendimento de pirólise</t>
  </si>
  <si>
    <t>Multiplicador de CAPEX</t>
  </si>
  <si>
    <t>×</t>
  </si>
  <si>
    <t>Taxa de desconto (WACC)</t>
  </si>
  <si>
    <t>A4 Verde 360 kW</t>
  </si>
  <si>
    <t>Energia eletrica</t>
  </si>
  <si>
    <t>nota</t>
  </si>
  <si>
    <t>Fixa no caso-base: sem cenarios A/B eletricos</t>
  </si>
  <si>
    <t>Cominuicao fora ponta + gestao demanda</t>
  </si>
  <si>
    <t>Fixa</t>
  </si>
  <si>
    <t>B — RESULTADOS (requerem simulação manual)</t>
  </si>
  <si>
    <t>Para resultados, altere inputs em PREMISSAS e observe INDICADORES.</t>
  </si>
  <si>
    <t>DASHBOARD DINÂMICO — atualiza com premissas do modelo</t>
  </si>
  <si>
    <t>Tabelas de apoio abaixo alimentam os gráficos. Não editar manualmente — todas as células contêm fórmulas vinculadas ao modelo.</t>
  </si>
  <si>
    <t>CAPEX BREAKDOWN</t>
  </si>
  <si>
    <t>OPEX BREAKDOWN (anual)</t>
  </si>
  <si>
    <t>Valor (R$/ano)</t>
  </si>
  <si>
    <t>Categoria</t>
  </si>
  <si>
    <t>Por mês de campanha</t>
  </si>
  <si>
    <t>Por tonelada</t>
  </si>
  <si>
    <t>TOTAL</t>
  </si>
  <si>
    <t>EBITDA CASCATA — Cenário Atual do Modelo (atualiza com Astra% e demais premissas)</t>
  </si>
  <si>
    <t>Etapa</t>
  </si>
  <si>
    <t>Invisible</t>
  </si>
  <si>
    <t>Aumento</t>
  </si>
  <si>
    <t>Diminuição</t>
  </si>
  <si>
    <t>Total</t>
  </si>
  <si>
    <t>Receita</t>
  </si>
  <si>
    <t>(−) Astra</t>
  </si>
  <si>
    <t>(−) OPEX</t>
  </si>
  <si>
    <t>(−) D&amp;A</t>
  </si>
  <si>
    <t>(−) Tributos</t>
  </si>
  <si>
    <t>Lucro Líq.</t>
  </si>
  <si>
    <t>(+) D&amp;A</t>
  </si>
  <si>
    <t>FCL ACUMULADO — Cenário Atual do Modelo</t>
  </si>
  <si>
    <t>FCL Anual</t>
  </si>
  <si>
    <t>Breakeven</t>
  </si>
  <si>
    <t>Zero</t>
  </si>
  <si>
    <t>Breakeven Ano</t>
  </si>
  <si>
    <t>Astra %</t>
  </si>
  <si>
    <t>Título dinâmico</t>
  </si>
  <si>
    <t>DRE 2026 - Cenario base eletrico unico (A4 Verde 360 kW | 207,9 kWh/t | Alimentacao: 3.594 t/ano)</t>
  </si>
  <si>
    <t>Linha DRE</t>
  </si>
  <si>
    <t>Cenário A (fee 0%)</t>
  </si>
  <si>
    <t>Cenário B (fee 10%)</t>
  </si>
  <si>
    <t>Receita bruta</t>
  </si>
  <si>
    <t>(–) Fee Astra</t>
  </si>
  <si>
    <t>(–) OPEX total</t>
  </si>
  <si>
    <t>(–) Tributos</t>
  </si>
  <si>
    <t>Lucro líquido</t>
  </si>
  <si>
    <t>FCL Acumulado 2025–2045 (R$)</t>
  </si>
  <si>
    <t>Sensibilidade: Cenário × Modo de operação</t>
  </si>
  <si>
    <t>Combinação</t>
  </si>
  <si>
    <t>VPL @ 10%</t>
  </si>
  <si>
    <t>EBITDA médio</t>
  </si>
  <si>
    <t>Cenário A — referencia antiga removida</t>
  </si>
  <si>
    <t>Cenário A — caso-base eletrico</t>
  </si>
  <si>
    <t>Cenário B — referencia antiga removida</t>
  </si>
  <si>
    <t>Cenário B — caso-base eletrico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</si>
</sst>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;\(#,##0\);\-"/>
    <numFmt numFmtId="165" formatCode="0.0%"/>
    <numFmt numFmtId="166" formatCode="#,##0;\-#,##0;\-"/>
    <numFmt numFmtId="167" formatCode="#,##0.0"/>
    <numFmt numFmtId="168" formatCode="0&quot; anos&quot;"/>
    <numFmt numFmtId="169" formatCode="\R\$\ #,##0.00000"/>
    <numFmt numFmtId="170" formatCode="\R\$\ #,##0"/>
    <numFmt numFmtId="171" formatCode="&quot;R$&quot;\ #,##0"/>
    <numFmt numFmtId="172" formatCode="0.0"/>
    <numFmt numFmtId="173" formatCode="\R&quot;R$&quot;\ #,##0;\(\R&quot;R$&quot;\ #,##0\);&quot;-&quot;"/>
    <numFmt numFmtId="174" formatCode="&quot;R$&quot;\ #,##0.00;[Red]&quot;R$&quot;\ \-#,##0.00;&quot;-&quot;"/>
  </numFmts>
  <fonts count="50">
    <font>
      <sz val="11"/>
      <color theme="1"/>
      <name val="Calibri"/>
      <family val="2"/>
      <charset val="1"/>
    </font>
    <font>
      <b/>
      <sz val="20"/>
      <color rgb="FF1A1A2E"/>
      <name val="Arial"/>
      <charset val="1"/>
    </font>
    <font>
      <sz val="14"/>
      <color rgb="FF4A4A6A"/>
      <name val="Arial"/>
      <charset val="1"/>
    </font>
    <font>
      <sz val="10"/>
      <color rgb="FF666666"/>
      <name val="Arial"/>
      <charset val="1"/>
    </font>
    <font>
      <b/>
      <sz val="10"/>
      <color rgb="FF1A1A2E"/>
      <name val="Arial"/>
      <charset val="1"/>
    </font>
    <font>
      <sz val="9"/>
      <color rgb="FF333333"/>
      <name val="Arial"/>
      <charset val="1"/>
    </font>
    <font>
      <sz val="9"/>
      <color rgb="FF000000"/>
      <name val="Arial"/>
      <charset val="1"/>
    </font>
    <font>
      <b/>
      <sz val="9"/>
      <color rgb="FF1A1A2E"/>
      <name val="Arial"/>
      <charset val="1"/>
    </font>
    <font>
      <i/>
      <sz val="8"/>
      <color rgb="FF888888"/>
      <name val="Arial"/>
      <charset val="1"/>
    </font>
    <font>
      <sz val="9"/>
      <color rgb="FF0000FF"/>
      <name val="Arial"/>
      <charset val="1"/>
    </font>
    <font>
      <sz val="9"/>
      <color rgb="FF008000"/>
      <name val="Arial"/>
      <charset val="1"/>
    </font>
    <font>
      <i/>
      <sz val="8"/>
      <color rgb="FFCC0000"/>
      <name val="Arial"/>
      <charset val="1"/>
    </font>
    <font>
      <b/>
      <sz val="12"/>
      <color rgb="FF1A1A2E"/>
      <name val="Arial"/>
      <charset val="1"/>
    </font>
    <font>
      <b/>
      <sz val="11"/>
      <color rgb="FF1A1A2E"/>
      <name val="Arial"/>
      <charset val="1"/>
    </font>
    <font>
      <sz val="8"/>
      <color rgb="FF888888"/>
      <name val="Arial"/>
      <charset val="1"/>
    </font>
    <font>
      <b/>
      <sz val="9"/>
      <color rgb="FFFFFFFF"/>
      <name val="Arial"/>
      <charset val="1"/>
    </font>
    <font>
      <i/>
      <sz val="9"/>
      <color rgb="FF666666"/>
      <name val="Arial"/>
      <charset val="1"/>
    </font>
    <font>
      <b/>
      <sz val="9"/>
      <color rgb="FF0000FF"/>
      <name val="Arial"/>
      <charset val="1"/>
    </font>
    <font>
      <b/>
      <sz val="9"/>
      <color rgb="FF000000"/>
      <name val="Arial"/>
      <charset val="1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9"/>
      <color theme="1"/>
      <name val="Calibri"/>
      <family val="2"/>
      <charset val="1"/>
    </font>
    <font>
      <b/>
      <sz val="16"/>
      <color rgb="FF1A1A2E"/>
      <name val="Calibri"/>
      <family val="2"/>
      <charset val="1"/>
    </font>
    <font>
      <i/>
      <sz val="9"/>
      <color rgb="FF888888"/>
      <name val="Calibri"/>
      <family val="2"/>
      <charset val="1"/>
    </font>
    <font>
      <i/>
      <sz val="8"/>
      <color rgb="FF888888"/>
      <name val="Calibri"/>
      <family val="2"/>
      <charset val="1"/>
    </font>
    <font>
      <b/>
      <i/>
      <sz val="9"/>
      <color rgb="FF888888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i/>
      <sz val="9"/>
      <color rgb="FF888888"/>
      <name val="Arial"/>
      <charset val="1"/>
    </font>
    <font>
      <i/>
      <sz val="9"/>
      <color rgb="FF888888"/>
      <name val="Arial"/>
      <charset val="1"/>
    </font>
    <font>
      <sz val="11"/>
      <color theme="1"/>
      <name val="Calibri"/>
      <family val="2"/>
      <charset val="1"/>
    </font>
    <font>
      <sz val="9"/>
      <color rgb="FF333333"/>
      <name val="Arial"/>
    </font>
    <font>
      <sz val="9"/>
      <color rgb="FF0000FF"/>
      <name val="Arial"/>
    </font>
    <font>
      <sz val="11"/>
      <color rgb="FF888888"/>
      <name val="Arial"/>
    </font>
    <font>
      <i/>
      <sz val="8"/>
      <color rgb="FF888888"/>
      <name val="Arial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Calibri"/>
    </font>
    <font>
      <sz val="10"/>
      <color theme="0" tint="-0.499984740745262"/>
      <name val="Calibri"/>
      <family val="2"/>
      <charset val="1"/>
    </font>
    <font>
      <b/>
      <sz val="11"/>
      <color rgb="FFFFFFFF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b/>
      <sz val="14"/>
      <color rgb="FFFFFFFF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1"/>
      <color rgb="FFFFFFFF"/>
      <name val="Calibri"/>
    </font>
    <font>
      <i/>
      <sz val="11"/>
      <color rgb="FF666666"/>
      <name val="Calibri"/>
    </font>
    <font>
      <sz val="1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EBF5FB"/>
        <bgColor rgb="FFF2F2F7"/>
      </patternFill>
    </fill>
    <fill>
      <patternFill patternType="solid">
        <fgColor rgb="FF1A1A2E"/>
        <bgColor rgb="FF333333"/>
      </patternFill>
    </fill>
    <fill>
      <patternFill patternType="solid">
        <fgColor rgb="FFF2F2F7"/>
        <bgColor rgb="FFEBF5FB"/>
      </patternFill>
    </fill>
    <fill>
      <patternFill patternType="solid">
        <fgColor rgb="FFDCE6F1"/>
        <bgColor rgb="FFD9E2F3"/>
      </patternFill>
    </fill>
    <fill>
      <patternFill patternType="solid">
        <fgColor rgb="FFFFF2CC"/>
        <bgColor rgb="FFF2F2F7"/>
      </patternFill>
    </fill>
    <fill>
      <patternFill patternType="solid">
        <fgColor rgb="FFD9E2F3"/>
        <bgColor rgb="FFDCE6F1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E2F0D9"/>
      </patternFill>
    </fill>
    <fill>
      <patternFill patternType="solid">
        <fgColor rgb="FF1A1A2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E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1A1A2E"/>
      </bottom>
      <diagonal/>
    </border>
    <border>
      <left/>
      <right/>
      <top/>
      <bottom style="thin">
        <color rgb="FF1A1A2E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2">
    <xf numFmtId="0" fontId="0" fillId="0" borderId="0"/>
    <xf numFmtId="43" fontId="32" fillId="0" borderId="0"/>
  </cellStyleXfs>
  <cellXfs count="19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164" fontId="10" fillId="0" borderId="0" xfId="0" applyNumberFormat="1" applyFont="1"/>
    <xf numFmtId="0" fontId="15" fillId="3" borderId="1" xfId="0" applyFont="1" applyFill="1" applyBorder="1" applyAlignment="1">
      <alignment horizontal="center" vertical="center"/>
    </xf>
    <xf numFmtId="0" fontId="16" fillId="0" borderId="0" xfId="0" applyFont="1"/>
    <xf numFmtId="164" fontId="6" fillId="0" borderId="0" xfId="0" applyNumberFormat="1" applyFont="1"/>
    <xf numFmtId="0" fontId="18" fillId="7" borderId="3" xfId="0" applyFont="1" applyFill="1" applyBorder="1"/>
    <xf numFmtId="164" fontId="18" fillId="7" borderId="3" xfId="0" applyNumberFormat="1" applyFont="1" applyFill="1" applyBorder="1"/>
    <xf numFmtId="165" fontId="6" fillId="0" borderId="0" xfId="0" applyNumberFormat="1" applyFont="1"/>
    <xf numFmtId="3" fontId="10" fillId="0" borderId="0" xfId="0" applyNumberFormat="1" applyFont="1"/>
    <xf numFmtId="0" fontId="18" fillId="0" borderId="0" xfId="0" applyFont="1"/>
    <xf numFmtId="0" fontId="21" fillId="0" borderId="0" xfId="0" applyFont="1"/>
    <xf numFmtId="0" fontId="21" fillId="17" borderId="0" xfId="0" applyFont="1" applyFill="1"/>
    <xf numFmtId="3" fontId="0" fillId="0" borderId="0" xfId="0" applyNumberFormat="1"/>
    <xf numFmtId="165" fontId="0" fillId="0" borderId="0" xfId="0" applyNumberFormat="1"/>
    <xf numFmtId="0" fontId="21" fillId="15" borderId="0" xfId="0" applyFont="1" applyFill="1"/>
    <xf numFmtId="3" fontId="21" fillId="15" borderId="0" xfId="0" applyNumberFormat="1" applyFont="1" applyFill="1"/>
    <xf numFmtId="165" fontId="0" fillId="15" borderId="0" xfId="0" applyNumberFormat="1" applyFill="1"/>
    <xf numFmtId="0" fontId="21" fillId="18" borderId="0" xfId="0" applyFont="1" applyFill="1"/>
    <xf numFmtId="3" fontId="21" fillId="18" borderId="0" xfId="0" applyNumberFormat="1" applyFont="1" applyFill="1"/>
    <xf numFmtId="0" fontId="0" fillId="18" borderId="0" xfId="0" applyFill="1"/>
    <xf numFmtId="1" fontId="0" fillId="0" borderId="0" xfId="0" applyNumberFormat="1"/>
    <xf numFmtId="166" fontId="0" fillId="0" borderId="0" xfId="0" applyNumberFormat="1"/>
    <xf numFmtId="0" fontId="28" fillId="17" borderId="0" xfId="0" applyFont="1" applyFill="1"/>
    <xf numFmtId="0" fontId="29" fillId="11" borderId="0" xfId="0" applyFont="1" applyFill="1" applyAlignment="1">
      <alignment horizontal="center"/>
    </xf>
    <xf numFmtId="164" fontId="0" fillId="0" borderId="0" xfId="0" applyNumberFormat="1"/>
    <xf numFmtId="0" fontId="30" fillId="7" borderId="3" xfId="0" applyFont="1" applyFill="1" applyBorder="1"/>
    <xf numFmtId="0" fontId="31" fillId="0" borderId="0" xfId="0" applyFont="1"/>
    <xf numFmtId="0" fontId="0" fillId="0" borderId="4" xfId="0" applyBorder="1" applyAlignment="1">
      <alignment vertical="center" wrapText="1"/>
    </xf>
    <xf numFmtId="0" fontId="38" fillId="0" borderId="4" xfId="0" applyFont="1" applyBorder="1" applyAlignment="1">
      <alignment vertical="center" wrapText="1"/>
    </xf>
    <xf numFmtId="0" fontId="38" fillId="22" borderId="4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3" fontId="9" fillId="5" borderId="0" xfId="0" applyNumberFormat="1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165" fontId="9" fillId="5" borderId="0" xfId="0" applyNumberFormat="1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17" fontId="35" fillId="14" borderId="0" xfId="0" applyNumberFormat="1" applyFont="1" applyFill="1" applyAlignment="1">
      <alignment vertical="center" wrapText="1"/>
    </xf>
    <xf numFmtId="0" fontId="33" fillId="14" borderId="0" xfId="0" applyFont="1" applyFill="1" applyAlignment="1">
      <alignment vertical="center" wrapText="1"/>
    </xf>
    <xf numFmtId="0" fontId="36" fillId="14" borderId="0" xfId="0" applyFont="1" applyFill="1" applyAlignment="1">
      <alignment vertical="center" wrapText="1"/>
    </xf>
    <xf numFmtId="0" fontId="20" fillId="9" borderId="0" xfId="0" applyFont="1" applyFill="1" applyAlignment="1">
      <alignment vertical="center" wrapText="1"/>
    </xf>
    <xf numFmtId="164" fontId="20" fillId="9" borderId="0" xfId="0" applyNumberFormat="1" applyFont="1" applyFill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0" fontId="18" fillId="7" borderId="3" xfId="0" applyFont="1" applyFill="1" applyBorder="1" applyAlignment="1">
      <alignment vertical="center" wrapText="1"/>
    </xf>
    <xf numFmtId="164" fontId="18" fillId="7" borderId="3" xfId="0" applyNumberFormat="1" applyFont="1" applyFill="1" applyBorder="1" applyAlignment="1">
      <alignment vertical="center" wrapText="1"/>
    </xf>
    <xf numFmtId="0" fontId="20" fillId="10" borderId="0" xfId="0" applyFont="1" applyFill="1" applyAlignment="1">
      <alignment vertical="center" wrapText="1"/>
    </xf>
    <xf numFmtId="164" fontId="20" fillId="10" borderId="0" xfId="0" applyNumberFormat="1" applyFont="1" applyFill="1" applyAlignment="1">
      <alignment vertical="center" wrapText="1"/>
    </xf>
    <xf numFmtId="0" fontId="20" fillId="9" borderId="3" xfId="0" applyFont="1" applyFill="1" applyBorder="1" applyAlignment="1">
      <alignment vertical="center" wrapText="1"/>
    </xf>
    <xf numFmtId="164" fontId="20" fillId="9" borderId="3" xfId="0" applyNumberFormat="1" applyFont="1" applyFill="1" applyBorder="1" applyAlignment="1">
      <alignment vertical="center" wrapText="1"/>
    </xf>
    <xf numFmtId="0" fontId="19" fillId="8" borderId="0" xfId="0" applyFont="1" applyFill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4" fontId="10" fillId="0" borderId="4" xfId="1" applyNumberFormat="1" applyFont="1" applyBorder="1" applyAlignment="1">
      <alignment vertical="center" wrapText="1"/>
    </xf>
    <xf numFmtId="4" fontId="0" fillId="0" borderId="4" xfId="1" applyNumberFormat="1" applyFont="1" applyBorder="1" applyAlignment="1">
      <alignment vertical="center" wrapText="1"/>
    </xf>
    <xf numFmtId="4" fontId="0" fillId="4" borderId="4" xfId="1" applyNumberFormat="1" applyFont="1" applyFill="1" applyBorder="1" applyAlignment="1">
      <alignment vertical="center" wrapText="1"/>
    </xf>
    <xf numFmtId="0" fontId="39" fillId="0" borderId="4" xfId="0" applyFont="1" applyBorder="1" applyAlignment="1">
      <alignment vertical="center" wrapText="1"/>
    </xf>
    <xf numFmtId="3" fontId="39" fillId="21" borderId="4" xfId="0" applyNumberFormat="1" applyFont="1" applyFill="1" applyBorder="1" applyAlignment="1">
      <alignment vertical="center" wrapText="1"/>
    </xf>
    <xf numFmtId="4" fontId="39" fillId="21" borderId="4" xfId="0" applyNumberFormat="1" applyFont="1" applyFill="1" applyBorder="1" applyAlignment="1">
      <alignment vertical="center" wrapText="1"/>
    </xf>
    <xf numFmtId="4" fontId="39" fillId="23" borderId="4" xfId="0" applyNumberFormat="1" applyFont="1" applyFill="1" applyBorder="1" applyAlignment="1">
      <alignment vertical="center" wrapText="1"/>
    </xf>
    <xf numFmtId="0" fontId="39" fillId="23" borderId="4" xfId="0" applyFont="1" applyFill="1" applyBorder="1" applyAlignment="1">
      <alignment vertical="center" wrapText="1"/>
    </xf>
    <xf numFmtId="0" fontId="38" fillId="22" borderId="0" xfId="0" applyFont="1" applyFill="1" applyAlignment="1">
      <alignment vertical="center" wrapText="1"/>
    </xf>
    <xf numFmtId="0" fontId="39" fillId="21" borderId="4" xfId="0" applyFont="1" applyFill="1" applyBorder="1" applyAlignment="1">
      <alignment vertical="center" wrapText="1"/>
    </xf>
    <xf numFmtId="164" fontId="13" fillId="2" borderId="0" xfId="0" applyNumberFormat="1" applyFont="1" applyFill="1" applyAlignment="1">
      <alignment vertical="center" wrapText="1"/>
    </xf>
    <xf numFmtId="165" fontId="13" fillId="2" borderId="0" xfId="0" applyNumberFormat="1" applyFont="1" applyFill="1" applyAlignment="1">
      <alignment vertical="center" wrapText="1"/>
    </xf>
    <xf numFmtId="0" fontId="26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164" fontId="2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center" wrapText="1"/>
    </xf>
    <xf numFmtId="3" fontId="10" fillId="6" borderId="0" xfId="0" applyNumberFormat="1" applyFont="1" applyFill="1" applyAlignment="1">
      <alignment vertical="center" wrapText="1"/>
    </xf>
    <xf numFmtId="3" fontId="9" fillId="21" borderId="0" xfId="0" applyNumberFormat="1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19" borderId="0" xfId="0" applyFont="1" applyFill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39" fillId="21" borderId="4" xfId="0" applyNumberFormat="1" applyFont="1" applyFill="1" applyBorder="1" applyAlignment="1">
      <alignment vertical="center" wrapText="1"/>
    </xf>
    <xf numFmtId="4" fontId="0" fillId="0" borderId="0" xfId="0" applyNumberFormat="1"/>
    <xf numFmtId="0" fontId="0" fillId="0" borderId="0" xfId="0" applyAlignment="1">
      <alignment vertical="center" wrapText="1"/>
    </xf>
    <xf numFmtId="167" fontId="10" fillId="0" borderId="0" xfId="0" applyNumberFormat="1" applyFont="1" applyAlignment="1">
      <alignment vertical="center" wrapText="1"/>
    </xf>
    <xf numFmtId="0" fontId="26" fillId="0" borderId="0" xfId="0" applyFont="1"/>
    <xf numFmtId="168" fontId="13" fillId="2" borderId="0" xfId="0" applyNumberFormat="1" applyFont="1" applyFill="1" applyAlignment="1">
      <alignment vertical="center" wrapText="1"/>
    </xf>
    <xf numFmtId="168" fontId="21" fillId="0" borderId="0" xfId="0" applyNumberFormat="1" applyFont="1" applyAlignment="1">
      <alignment vertical="center" wrapText="1"/>
    </xf>
    <xf numFmtId="43" fontId="40" fillId="0" borderId="0" xfId="1" applyFont="1"/>
    <xf numFmtId="43" fontId="0" fillId="0" borderId="0" xfId="1" applyFont="1"/>
    <xf numFmtId="43" fontId="0" fillId="0" borderId="4" xfId="1" applyFont="1" applyBorder="1" applyAlignment="1">
      <alignment vertical="center" wrapText="1"/>
    </xf>
    <xf numFmtId="43" fontId="0" fillId="4" borderId="4" xfId="1" applyFont="1" applyFill="1" applyBorder="1" applyAlignment="1">
      <alignment vertical="center" wrapText="1"/>
    </xf>
    <xf numFmtId="43" fontId="10" fillId="0" borderId="4" xfId="1" applyFont="1" applyBorder="1" applyAlignment="1">
      <alignment vertical="center" wrapText="1"/>
    </xf>
    <xf numFmtId="170" fontId="0" fillId="4" borderId="4" xfId="1" applyNumberFormat="1" applyFont="1" applyFill="1" applyBorder="1" applyAlignment="1">
      <alignment vertical="center" wrapText="1"/>
    </xf>
    <xf numFmtId="170" fontId="0" fillId="0" borderId="4" xfId="1" applyNumberFormat="1" applyFont="1" applyBorder="1" applyAlignment="1">
      <alignment vertical="center" wrapText="1"/>
    </xf>
    <xf numFmtId="170" fontId="39" fillId="0" borderId="4" xfId="0" applyNumberFormat="1" applyFont="1" applyBorder="1" applyAlignment="1">
      <alignment vertical="center" wrapText="1"/>
    </xf>
    <xf numFmtId="170" fontId="39" fillId="21" borderId="4" xfId="0" applyNumberFormat="1" applyFont="1" applyFill="1" applyBorder="1" applyAlignment="1">
      <alignment vertical="center" wrapText="1"/>
    </xf>
    <xf numFmtId="172" fontId="9" fillId="5" borderId="0" xfId="0" applyNumberFormat="1" applyFont="1" applyFill="1" applyAlignment="1">
      <alignment vertical="center" wrapText="1"/>
    </xf>
    <xf numFmtId="172" fontId="10" fillId="6" borderId="0" xfId="0" applyNumberFormat="1" applyFont="1" applyFill="1" applyAlignment="1">
      <alignment vertical="center" wrapText="1"/>
    </xf>
    <xf numFmtId="173" fontId="0" fillId="0" borderId="0" xfId="0" applyNumberFormat="1" applyAlignment="1">
      <alignment vertical="center" wrapText="1"/>
    </xf>
    <xf numFmtId="0" fontId="0" fillId="25" borderId="0" xfId="0" applyFill="1"/>
    <xf numFmtId="0" fontId="41" fillId="26" borderId="0" xfId="0" applyFont="1" applyFill="1" applyAlignment="1">
      <alignment horizontal="center" vertical="center" wrapText="1"/>
    </xf>
    <xf numFmtId="0" fontId="42" fillId="0" borderId="0" xfId="0" applyFont="1"/>
    <xf numFmtId="0" fontId="42" fillId="0" borderId="8" xfId="0" applyFont="1" applyBorder="1" applyAlignment="1">
      <alignment vertical="top" wrapText="1"/>
    </xf>
    <xf numFmtId="0" fontId="44" fillId="27" borderId="8" xfId="0" applyFont="1" applyFill="1" applyBorder="1" applyAlignment="1">
      <alignment vertical="center" wrapText="1"/>
    </xf>
    <xf numFmtId="174" fontId="44" fillId="27" borderId="8" xfId="0" applyNumberFormat="1" applyFont="1" applyFill="1" applyBorder="1" applyAlignment="1">
      <alignment vertical="center" wrapText="1"/>
    </xf>
    <xf numFmtId="174" fontId="43" fillId="24" borderId="0" xfId="0" applyNumberFormat="1" applyFont="1" applyFill="1"/>
    <xf numFmtId="9" fontId="42" fillId="24" borderId="0" xfId="0" applyNumberFormat="1" applyFont="1" applyFill="1"/>
    <xf numFmtId="0" fontId="0" fillId="0" borderId="0" xfId="0" applyAlignment="1">
      <alignment vertical="top" wrapText="1"/>
    </xf>
    <xf numFmtId="0" fontId="21" fillId="28" borderId="10" xfId="0" applyFont="1" applyFill="1" applyBorder="1" applyAlignment="1">
      <alignment horizontal="left" vertical="top" wrapText="1"/>
    </xf>
    <xf numFmtId="0" fontId="21" fillId="29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43" fontId="32" fillId="0" borderId="0" xfId="1"/>
    <xf numFmtId="174" fontId="42" fillId="0" borderId="12" xfId="0" applyNumberFormat="1" applyFont="1" applyBorder="1" applyAlignment="1">
      <alignment vertical="top" wrapText="1"/>
    </xf>
    <xf numFmtId="174" fontId="44" fillId="27" borderId="12" xfId="0" applyNumberFormat="1" applyFont="1" applyFill="1" applyBorder="1" applyAlignment="1">
      <alignment vertical="center" wrapText="1"/>
    </xf>
    <xf numFmtId="0" fontId="0" fillId="0" borderId="11" xfId="0" applyBorder="1"/>
    <xf numFmtId="174" fontId="42" fillId="0" borderId="11" xfId="0" applyNumberFormat="1" applyFont="1" applyBorder="1" applyAlignment="1">
      <alignment vertical="top" wrapText="1"/>
    </xf>
    <xf numFmtId="170" fontId="6" fillId="0" borderId="0" xfId="0" applyNumberFormat="1" applyFont="1" applyAlignment="1">
      <alignment vertical="center" wrapText="1"/>
    </xf>
    <xf numFmtId="170" fontId="48" fillId="32" borderId="13" xfId="0" applyNumberFormat="1" applyFont="1" applyFill="1" applyBorder="1" applyAlignment="1">
      <alignment horizontal="right"/>
    </xf>
    <xf numFmtId="3" fontId="9" fillId="33" borderId="0" xfId="0" applyNumberFormat="1" applyFont="1" applyFill="1" applyAlignment="1">
      <alignment vertical="center" wrapText="1"/>
    </xf>
    <xf numFmtId="165" fontId="9" fillId="33" borderId="0" xfId="0" applyNumberFormat="1" applyFont="1" applyFill="1" applyAlignment="1">
      <alignment vertical="center" wrapText="1"/>
    </xf>
    <xf numFmtId="10" fontId="9" fillId="33" borderId="0" xfId="0" applyNumberFormat="1" applyFont="1" applyFill="1" applyAlignment="1">
      <alignment vertical="center" wrapText="1"/>
    </xf>
    <xf numFmtId="164" fontId="6" fillId="34" borderId="0" xfId="0" applyNumberFormat="1" applyFont="1" applyFill="1" applyAlignment="1">
      <alignment vertical="center" wrapText="1"/>
    </xf>
    <xf numFmtId="165" fontId="6" fillId="34" borderId="0" xfId="0" applyNumberFormat="1" applyFont="1" applyFill="1" applyAlignment="1">
      <alignment vertical="center" wrapText="1"/>
    </xf>
    <xf numFmtId="167" fontId="6" fillId="34" borderId="0" xfId="0" applyNumberFormat="1" applyFont="1" applyFill="1" applyAlignment="1">
      <alignment vertical="center" wrapText="1"/>
    </xf>
    <xf numFmtId="167" fontId="9" fillId="33" borderId="0" xfId="0" applyNumberFormat="1" applyFont="1" applyFill="1" applyAlignment="1">
      <alignment vertical="center" wrapText="1"/>
    </xf>
    <xf numFmtId="0" fontId="0" fillId="0" borderId="2" xfId="0" applyBorder="1" applyAlignment="1">
      <alignment vertical="center" wrapText="1"/>
    </xf>
    <xf numFmtId="4" fontId="9" fillId="33" borderId="0" xfId="0" applyNumberFormat="1" applyFont="1" applyFill="1" applyAlignment="1">
      <alignment vertical="center" wrapText="1"/>
    </xf>
    <xf numFmtId="4" fontId="6" fillId="34" borderId="0" xfId="0" applyNumberFormat="1" applyFont="1" applyFill="1" applyAlignment="1">
      <alignment vertical="center" wrapText="1"/>
    </xf>
    <xf numFmtId="1" fontId="9" fillId="33" borderId="0" xfId="0" applyNumberFormat="1" applyFont="1" applyFill="1" applyAlignment="1">
      <alignment vertical="center" wrapText="1"/>
    </xf>
    <xf numFmtId="169" fontId="9" fillId="33" borderId="0" xfId="0" applyNumberFormat="1" applyFont="1" applyFill="1" applyAlignment="1">
      <alignment vertical="center" wrapText="1"/>
    </xf>
    <xf numFmtId="169" fontId="6" fillId="34" borderId="0" xfId="0" applyNumberFormat="1" applyFont="1" applyFill="1" applyAlignment="1">
      <alignment vertical="center" wrapText="1"/>
    </xf>
    <xf numFmtId="10" fontId="6" fillId="34" borderId="0" xfId="0" applyNumberFormat="1" applyFont="1" applyFill="1" applyAlignment="1">
      <alignment vertical="center" wrapText="1"/>
    </xf>
    <xf numFmtId="170" fontId="6" fillId="34" borderId="0" xfId="0" applyNumberFormat="1" applyFont="1" applyFill="1" applyAlignment="1">
      <alignment vertical="center" wrapText="1"/>
    </xf>
    <xf numFmtId="164" fontId="9" fillId="33" borderId="0" xfId="0" applyNumberFormat="1" applyFont="1" applyFill="1" applyAlignment="1">
      <alignment vertical="center" wrapText="1"/>
    </xf>
    <xf numFmtId="0" fontId="0" fillId="33" borderId="0" xfId="0" applyFill="1"/>
    <xf numFmtId="164" fontId="9" fillId="34" borderId="0" xfId="0" applyNumberFormat="1" applyFont="1" applyFill="1" applyAlignment="1">
      <alignment vertical="center" wrapText="1"/>
    </xf>
    <xf numFmtId="1" fontId="34" fillId="33" borderId="0" xfId="0" applyNumberFormat="1" applyFont="1" applyFill="1" applyAlignment="1">
      <alignment vertical="center" wrapText="1"/>
    </xf>
    <xf numFmtId="171" fontId="9" fillId="33" borderId="0" xfId="0" applyNumberFormat="1" applyFont="1" applyFill="1" applyAlignment="1">
      <alignment vertical="center" wrapText="1"/>
    </xf>
    <xf numFmtId="170" fontId="47" fillId="30" borderId="13" xfId="0" applyNumberFormat="1" applyFont="1" applyFill="1" applyBorder="1" applyAlignment="1">
      <alignment horizontal="center" wrapText="1"/>
    </xf>
    <xf numFmtId="0" fontId="47" fillId="30" borderId="13" xfId="0" applyFont="1" applyFill="1" applyBorder="1" applyAlignment="1">
      <alignment horizontal="center" wrapText="1"/>
    </xf>
    <xf numFmtId="170" fontId="49" fillId="31" borderId="13" xfId="0" applyNumberFormat="1" applyFont="1" applyFill="1" applyBorder="1" applyAlignment="1">
      <alignment horizontal="center" wrapText="1"/>
    </xf>
    <xf numFmtId="10" fontId="49" fillId="31" borderId="13" xfId="0" applyNumberFormat="1" applyFont="1" applyFill="1" applyBorder="1" applyAlignment="1">
      <alignment horizontal="center" wrapText="1"/>
    </xf>
    <xf numFmtId="170" fontId="49" fillId="31" borderId="13" xfId="0" applyNumberFormat="1" applyFont="1" applyFill="1" applyBorder="1" applyAlignment="1">
      <alignment horizontal="right" wrapText="1"/>
    </xf>
    <xf numFmtId="0" fontId="49" fillId="31" borderId="13" xfId="0" applyFont="1" applyFill="1" applyBorder="1" applyAlignment="1">
      <alignment horizontal="left" wrapText="1"/>
    </xf>
    <xf numFmtId="170" fontId="49" fillId="34" borderId="13" xfId="0" applyNumberFormat="1" applyFont="1" applyFill="1" applyBorder="1" applyAlignment="1">
      <alignment horizontal="center" wrapText="1"/>
    </xf>
    <xf numFmtId="10" fontId="49" fillId="34" borderId="13" xfId="0" applyNumberFormat="1" applyFont="1" applyFill="1" applyBorder="1" applyAlignment="1">
      <alignment horizontal="center" wrapText="1"/>
    </xf>
    <xf numFmtId="170" fontId="49" fillId="34" borderId="13" xfId="0" applyNumberFormat="1" applyFont="1" applyFill="1" applyBorder="1" applyAlignment="1">
      <alignment horizontal="right" wrapText="1"/>
    </xf>
    <xf numFmtId="0" fontId="49" fillId="34" borderId="13" xfId="0" applyFont="1" applyFill="1" applyBorder="1" applyAlignment="1">
      <alignment horizontal="left" wrapText="1"/>
    </xf>
    <xf numFmtId="170" fontId="49" fillId="32" borderId="13" xfId="0" applyNumberFormat="1" applyFont="1" applyFill="1" applyBorder="1" applyAlignment="1">
      <alignment horizontal="center" wrapText="1"/>
    </xf>
    <xf numFmtId="10" fontId="49" fillId="32" borderId="13" xfId="0" applyNumberFormat="1" applyFont="1" applyFill="1" applyBorder="1" applyAlignment="1">
      <alignment horizontal="center" wrapText="1"/>
    </xf>
    <xf numFmtId="170" fontId="49" fillId="32" borderId="13" xfId="0" applyNumberFormat="1" applyFont="1" applyFill="1" applyBorder="1" applyAlignment="1">
      <alignment horizontal="right" wrapText="1"/>
    </xf>
    <xf numFmtId="0" fontId="49" fillId="32" borderId="13" xfId="0" applyFont="1" applyFill="1" applyBorder="1" applyAlignment="1">
      <alignment horizontal="left" wrapText="1"/>
    </xf>
    <xf numFmtId="170" fontId="49" fillId="0" borderId="14" xfId="0" applyNumberFormat="1" applyFont="1" applyBorder="1"/>
    <xf numFmtId="0" fontId="49" fillId="0" borderId="14" xfId="0" applyFont="1" applyBorder="1"/>
    <xf numFmtId="0" fontId="46" fillId="0" borderId="0" xfId="0" applyFont="1"/>
    <xf numFmtId="0" fontId="0" fillId="0" borderId="0" xfId="0"/>
    <xf numFmtId="0" fontId="45" fillId="19" borderId="0" xfId="0" applyFont="1" applyFill="1"/>
    <xf numFmtId="170" fontId="48" fillId="0" borderId="14" xfId="0" applyNumberFormat="1" applyFont="1" applyBorder="1" applyAlignment="1">
      <alignment wrapText="1"/>
    </xf>
    <xf numFmtId="170" fontId="47" fillId="30" borderId="14" xfId="0" applyNumberFormat="1" applyFont="1" applyFill="1" applyBorder="1" applyAlignment="1">
      <alignment horizontal="center"/>
    </xf>
    <xf numFmtId="0" fontId="37" fillId="20" borderId="4" xfId="0" applyFont="1" applyFill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37" fillId="20" borderId="0" xfId="0" applyFont="1" applyFill="1" applyAlignment="1">
      <alignment vertical="center" wrapText="1"/>
    </xf>
    <xf numFmtId="0" fontId="43" fillId="0" borderId="9" xfId="0" applyFont="1" applyBorder="1" applyAlignment="1">
      <alignment horizontal="center" vertical="center" wrapText="1"/>
    </xf>
    <xf numFmtId="0" fontId="0" fillId="0" borderId="7" xfId="0" applyBorder="1"/>
    <xf numFmtId="0" fontId="43" fillId="0" borderId="7" xfId="0" applyFont="1" applyBorder="1" applyAlignment="1">
      <alignment horizontal="center" vertical="center" wrapText="1"/>
    </xf>
    <xf numFmtId="0" fontId="26" fillId="0" borderId="0" xfId="0" applyFont="1"/>
    <xf numFmtId="0" fontId="25" fillId="0" borderId="0" xfId="0" applyFont="1"/>
    <xf numFmtId="0" fontId="23" fillId="16" borderId="0" xfId="0" applyFont="1" applyFill="1"/>
    <xf numFmtId="0" fontId="23" fillId="13" borderId="0" xfId="0" applyFont="1" applyFill="1"/>
    <xf numFmtId="0" fontId="23" fillId="12" borderId="0" xfId="0" applyFont="1" applyFill="1"/>
    <xf numFmtId="0" fontId="27" fillId="0" borderId="0" xfId="0" applyFont="1"/>
    <xf numFmtId="2" fontId="9" fillId="33" borderId="0" xfId="0" applyNumberFormat="1" applyFont="1" applyFill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C000"/>
      <rgbColor rgb="FFFF00FF"/>
      <rgbColor rgb="FF00FFFF"/>
      <rgbColor rgb="FF800000"/>
      <rgbColor rgb="FF008000"/>
      <rgbColor rgb="FF000080"/>
      <rgbColor rgb="FF808000"/>
      <rgbColor rgb="FF800080"/>
      <rgbColor rgb="FF4A86C8"/>
      <rgbColor rgb="FFA5A5A5"/>
      <rgbColor rgb="FF878787"/>
      <rgbColor rgb="FF5B9BD5"/>
      <rgbColor rgb="FF7030A0"/>
      <rgbColor rgb="FFFFF2CC"/>
      <rgbColor rgb="FFEBF5FB"/>
      <rgbColor rgb="FF660066"/>
      <rgbColor rgb="FFFF6699"/>
      <rgbColor rgb="FF2196F3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B0F0"/>
      <rgbColor rgb="FFDCE6F1"/>
      <rgbColor rgb="FFD9E2F3"/>
      <rgbColor rgb="FFF9F9F9"/>
      <rgbColor rgb="FF99CCFF"/>
      <rgbColor rgb="FFED7D31"/>
      <rgbColor rgb="FFCC99FF"/>
      <rgbColor rgb="FFF2F2F7"/>
      <rgbColor rgb="FF4472C4"/>
      <rgbColor rgb="FF33CCCC"/>
      <rgbColor rgb="FF70AD47"/>
      <rgbColor rgb="FFFFD700"/>
      <rgbColor rgb="FFFF9900"/>
      <rgbColor rgb="FFFF6600"/>
      <rgbColor rgb="FF666666"/>
      <rgbColor rgb="FF888888"/>
      <rgbColor rgb="FF4A4A6A"/>
      <rgbColor rgb="FF339966"/>
      <rgbColor rgb="FF006600"/>
      <rgbColor rgb="FF1A1A2E"/>
      <rgbColor rgb="FFC55A11"/>
      <rgbColor rgb="FFFF6347"/>
      <rgbColor rgb="FF2644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CAPEX Breakdown (R$)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1F4E7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Dashboard!$A$6:$A$17</c:f>
              <c:strCache>
                <c:ptCount val="12"/>
                <c:pt idx="0">
                  <c:v>Reator de pirólise BST-30</c:v>
                </c:pt>
                <c:pt idx="1">
                  <c:v>Serviços Astra Carbon</c:v>
                </c:pt>
                <c:pt idx="2">
                  <c:v>Montagem e comissionamento</c:v>
                </c:pt>
                <c:pt idx="3">
                  <c:v>Infraestrutura civil</c:v>
                </c:pt>
                <c:pt idx="4">
                  <c:v>Plano de MRV e data room</c:v>
                </c:pt>
                <c:pt idx="5">
                  <c:v>Frete + seguro + sobressalentes</c:v>
                </c:pt>
                <c:pt idx="6">
                  <c:v>Terraplanagem e drenagem</c:v>
                </c:pt>
                <c:pt idx="7">
                  <c:v>Instalação elétrica</c:v>
                </c:pt>
                <c:pt idx="8">
                  <c:v>Linha de cominuição / triturador</c:v>
                </c:pt>
                <c:pt idx="9">
                  <c:v>Secador de biomassa</c:v>
                </c:pt>
                <c:pt idx="10">
                  <c:v>Auditoria e certificação inicial</c:v>
                </c:pt>
                <c:pt idx="11">
                  <c:v>Análise de Ciclo de Vida (ACV)</c:v>
                </c:pt>
              </c:strCache>
            </c:strRef>
          </c:cat>
          <c:val>
            <c:numRef>
              <c:f>Dashboard!$B$6:$B$17</c:f>
              <c:numCache>
                <c:formatCode>#,##0</c:formatCode>
                <c:ptCount val="12"/>
                <c:pt idx="0">
                  <c:v>2210000</c:v>
                </c:pt>
                <c:pt idx="1">
                  <c:v>741000</c:v>
                </c:pt>
                <c:pt idx="2">
                  <c:v>450000</c:v>
                </c:pt>
                <c:pt idx="3">
                  <c:v>400000</c:v>
                </c:pt>
                <c:pt idx="4">
                  <c:v>150000</c:v>
                </c:pt>
                <c:pt idx="5">
                  <c:v>312000</c:v>
                </c:pt>
                <c:pt idx="6">
                  <c:v>300000</c:v>
                </c:pt>
                <c:pt idx="7">
                  <c:v>0</c:v>
                </c:pt>
                <c:pt idx="8">
                  <c:v>240000</c:v>
                </c:pt>
                <c:pt idx="9">
                  <c:v>150000</c:v>
                </c:pt>
                <c:pt idx="10">
                  <c:v>100000</c:v>
                </c:pt>
                <c:pt idx="11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2-4521-9CA4-0D5CFDB0F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3680720"/>
        <c:axId val="863686960"/>
      </c:barChart>
      <c:catAx>
        <c:axId val="86368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3686960"/>
        <c:crosses val="autoZero"/>
        <c:auto val="1"/>
        <c:lblAlgn val="ctr"/>
        <c:lblOffset val="100"/>
        <c:noMultiLvlLbl val="0"/>
      </c:catAx>
      <c:valAx>
        <c:axId val="8636869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crossAx val="86368072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OPEX Breakdown — anual (R$)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Dashboard!$F$5</c:f>
              <c:strCache>
                <c:ptCount val="1"/>
                <c:pt idx="0">
                  <c:v>Valor (R$/ano)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Dashboard!$E$6:$E$16</c:f>
              <c:strCache>
                <c:ptCount val="11"/>
                <c:pt idx="0">
                  <c:v>Mao de obra operacional</c:v>
                </c:pt>
                <c:pt idx="1">
                  <c:v>Energia eletrica variavel - somente meses com operacao</c:v>
                </c:pt>
                <c:pt idx="2">
                  <c:v>Logistica de transporte</c:v>
                </c:pt>
                <c:pt idx="3">
                  <c:v>Demanda contratada Cemig A4 Verde 360 kW - 12 meses</c:v>
                </c:pt>
                <c:pt idx="4">
                  <c:v>Logistica de coleta</c:v>
                </c:pt>
                <c:pt idx="5">
                  <c:v>Auditoria e verificacao anual</c:v>
                </c:pt>
                <c:pt idx="6">
                  <c:v>O&amp;M reator BST-30</c:v>
                </c:pt>
                <c:pt idx="7">
                  <c:v>Renovacao LCA + relatorio</c:v>
                </c:pt>
                <c:pt idx="8">
                  <c:v>Material de laboratorio</c:v>
                </c:pt>
                <c:pt idx="9">
                  <c:v>Big bags e embalagem</c:v>
                </c:pt>
                <c:pt idx="10">
                  <c:v>Treinamento e outros fixos</c:v>
                </c:pt>
              </c:strCache>
            </c:strRef>
          </c:cat>
          <c:val>
            <c:numRef>
              <c:f>Dashboard!$F$6:$F$16</c:f>
              <c:numCache>
                <c:formatCode>#,##0</c:formatCode>
                <c:ptCount val="11"/>
                <c:pt idx="0">
                  <c:v>354675.82751999993</c:v>
                </c:pt>
                <c:pt idx="1">
                  <c:v>624196.08697111707</c:v>
                </c:pt>
                <c:pt idx="2">
                  <c:v>236450.55167999998</c:v>
                </c:pt>
                <c:pt idx="3">
                  <c:v>129214.79150275369</c:v>
                </c:pt>
                <c:pt idx="4">
                  <c:v>141870.33100799998</c:v>
                </c:pt>
                <c:pt idx="5">
                  <c:v>100000</c:v>
                </c:pt>
                <c:pt idx="6">
                  <c:v>22100</c:v>
                </c:pt>
                <c:pt idx="7">
                  <c:v>35000</c:v>
                </c:pt>
                <c:pt idx="8">
                  <c:v>36094.176713952002</c:v>
                </c:pt>
                <c:pt idx="9">
                  <c:v>25264.741447008</c:v>
                </c:pt>
                <c:pt idx="1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5-4FA4-B54E-79B997E22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3666800"/>
        <c:axId val="863667280"/>
      </c:barChart>
      <c:catAx>
        <c:axId val="86366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3667280"/>
        <c:crosses val="autoZero"/>
        <c:auto val="1"/>
        <c:lblAlgn val="ctr"/>
        <c:lblOffset val="100"/>
        <c:noMultiLvlLbl val="0"/>
      </c:catAx>
      <c:valAx>
        <c:axId val="8636672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crossAx val="86366680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Cascata DRE &amp; FCL — 2026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Invisible</c:v>
                </c:pt>
              </c:strCache>
            </c:strRef>
          </c:tx>
          <c:spPr>
            <a:solidFill>
              <a:srgbClr val="FFFFFF"/>
            </a:solidFill>
            <a:ln>
              <a:noFill/>
              <a:prstDash val="solid"/>
            </a:ln>
          </c:spPr>
          <c:invertIfNegative val="0"/>
          <c:cat>
            <c:strRef>
              <c:f>Dashboard!$A$24:$A$33</c:f>
              <c:strCache>
                <c:ptCount val="10"/>
                <c:pt idx="0">
                  <c:v>Receita</c:v>
                </c:pt>
                <c:pt idx="1">
                  <c:v>(−) Astra</c:v>
                </c:pt>
                <c:pt idx="2">
                  <c:v>(−) OPEX</c:v>
                </c:pt>
                <c:pt idx="3">
                  <c:v>EBITDA</c:v>
                </c:pt>
                <c:pt idx="4">
                  <c:v>(−) D&amp;A</c:v>
                </c:pt>
                <c:pt idx="5">
                  <c:v>EBIT</c:v>
                </c:pt>
                <c:pt idx="6">
                  <c:v>(−) Tributos</c:v>
                </c:pt>
                <c:pt idx="7">
                  <c:v>Lucro Líq.</c:v>
                </c:pt>
                <c:pt idx="8">
                  <c:v>(+) D&amp;A</c:v>
                </c:pt>
                <c:pt idx="9">
                  <c:v>FCL</c:v>
                </c:pt>
              </c:strCache>
            </c:strRef>
          </c:cat>
          <c:val>
            <c:numRef>
              <c:f>Dashboard!$B$24:$B$33</c:f>
              <c:numCache>
                <c:formatCode>#,##0;\-#,##0;\-</c:formatCode>
                <c:ptCount val="10"/>
                <c:pt idx="0">
                  <c:v>0</c:v>
                </c:pt>
                <c:pt idx="1">
                  <c:v>2897370.4800660484</c:v>
                </c:pt>
                <c:pt idx="2">
                  <c:v>1162834.9732232178</c:v>
                </c:pt>
                <c:pt idx="3">
                  <c:v>0</c:v>
                </c:pt>
                <c:pt idx="4">
                  <c:v>939734.97322321776</c:v>
                </c:pt>
                <c:pt idx="5">
                  <c:v>0</c:v>
                </c:pt>
                <c:pt idx="6">
                  <c:v>376218.31292121427</c:v>
                </c:pt>
                <c:pt idx="7">
                  <c:v>0</c:v>
                </c:pt>
                <c:pt idx="8">
                  <c:v>376218.31292121427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B-4B36-BC75-E88D5066EEC4}"/>
            </c:ext>
          </c:extLst>
        </c:ser>
        <c:ser>
          <c:idx val="1"/>
          <c:order val="1"/>
          <c:tx>
            <c:strRef>
              <c:f>Dashboard!$C$23</c:f>
              <c:strCache>
                <c:ptCount val="1"/>
                <c:pt idx="0">
                  <c:v>Aumento</c:v>
                </c:pt>
              </c:strCache>
            </c:strRef>
          </c:tx>
          <c:spPr>
            <a:solidFill>
              <a:srgbClr val="2E8B57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Dashboard!$A$24:$A$33</c:f>
              <c:strCache>
                <c:ptCount val="10"/>
                <c:pt idx="0">
                  <c:v>Receita</c:v>
                </c:pt>
                <c:pt idx="1">
                  <c:v>(−) Astra</c:v>
                </c:pt>
                <c:pt idx="2">
                  <c:v>(−) OPEX</c:v>
                </c:pt>
                <c:pt idx="3">
                  <c:v>EBITDA</c:v>
                </c:pt>
                <c:pt idx="4">
                  <c:v>(−) D&amp;A</c:v>
                </c:pt>
                <c:pt idx="5">
                  <c:v>EBIT</c:v>
                </c:pt>
                <c:pt idx="6">
                  <c:v>(−) Tributos</c:v>
                </c:pt>
                <c:pt idx="7">
                  <c:v>Lucro Líq.</c:v>
                </c:pt>
                <c:pt idx="8">
                  <c:v>(+) D&amp;A</c:v>
                </c:pt>
                <c:pt idx="9">
                  <c:v>FCL</c:v>
                </c:pt>
              </c:strCache>
            </c:strRef>
          </c:cat>
          <c:val>
            <c:numRef>
              <c:f>Dashboard!$C$24:$C$33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223100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CB-4B36-BC75-E88D5066EEC4}"/>
            </c:ext>
          </c:extLst>
        </c:ser>
        <c:ser>
          <c:idx val="2"/>
          <c:order val="2"/>
          <c:tx>
            <c:strRef>
              <c:f>Dashboard!$D$23</c:f>
              <c:strCache>
                <c:ptCount val="1"/>
                <c:pt idx="0">
                  <c:v>Diminuição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Dashboard!$A$24:$A$33</c:f>
              <c:strCache>
                <c:ptCount val="10"/>
                <c:pt idx="0">
                  <c:v>Receita</c:v>
                </c:pt>
                <c:pt idx="1">
                  <c:v>(−) Astra</c:v>
                </c:pt>
                <c:pt idx="2">
                  <c:v>(−) OPEX</c:v>
                </c:pt>
                <c:pt idx="3">
                  <c:v>EBITDA</c:v>
                </c:pt>
                <c:pt idx="4">
                  <c:v>(−) D&amp;A</c:v>
                </c:pt>
                <c:pt idx="5">
                  <c:v>EBIT</c:v>
                </c:pt>
                <c:pt idx="6">
                  <c:v>(−) Tributos</c:v>
                </c:pt>
                <c:pt idx="7">
                  <c:v>Lucro Líq.</c:v>
                </c:pt>
                <c:pt idx="8">
                  <c:v>(+) D&amp;A</c:v>
                </c:pt>
                <c:pt idx="9">
                  <c:v>FCL</c:v>
                </c:pt>
              </c:strCache>
            </c:strRef>
          </c:cat>
          <c:val>
            <c:numRef>
              <c:f>Dashboard!$D$24:$D$33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1734535.5068428307</c:v>
                </c:pt>
                <c:pt idx="3">
                  <c:v>0</c:v>
                </c:pt>
                <c:pt idx="4">
                  <c:v>223100</c:v>
                </c:pt>
                <c:pt idx="5">
                  <c:v>0</c:v>
                </c:pt>
                <c:pt idx="6">
                  <c:v>563516.6603020035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CB-4B36-BC75-E88D5066EEC4}"/>
            </c:ext>
          </c:extLst>
        </c:ser>
        <c:ser>
          <c:idx val="3"/>
          <c:order val="3"/>
          <c:tx>
            <c:strRef>
              <c:f>Dashboard!$E$23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Dashboard!$A$24:$A$33</c:f>
              <c:strCache>
                <c:ptCount val="10"/>
                <c:pt idx="0">
                  <c:v>Receita</c:v>
                </c:pt>
                <c:pt idx="1">
                  <c:v>(−) Astra</c:v>
                </c:pt>
                <c:pt idx="2">
                  <c:v>(−) OPEX</c:v>
                </c:pt>
                <c:pt idx="3">
                  <c:v>EBITDA</c:v>
                </c:pt>
                <c:pt idx="4">
                  <c:v>(−) D&amp;A</c:v>
                </c:pt>
                <c:pt idx="5">
                  <c:v>EBIT</c:v>
                </c:pt>
                <c:pt idx="6">
                  <c:v>(−) Tributos</c:v>
                </c:pt>
                <c:pt idx="7">
                  <c:v>Lucro Líq.</c:v>
                </c:pt>
                <c:pt idx="8">
                  <c:v>(+) D&amp;A</c:v>
                </c:pt>
                <c:pt idx="9">
                  <c:v>FCL</c:v>
                </c:pt>
              </c:strCache>
            </c:strRef>
          </c:cat>
          <c:val>
            <c:numRef>
              <c:f>Dashboard!$E$24:$E$33</c:f>
              <c:numCache>
                <c:formatCode>#,##0;\-#,##0;\-</c:formatCode>
                <c:ptCount val="10"/>
                <c:pt idx="0">
                  <c:v>2897370.4800660484</c:v>
                </c:pt>
                <c:pt idx="1">
                  <c:v>0</c:v>
                </c:pt>
                <c:pt idx="2">
                  <c:v>0</c:v>
                </c:pt>
                <c:pt idx="3">
                  <c:v>1162834.9732232178</c:v>
                </c:pt>
                <c:pt idx="4">
                  <c:v>0</c:v>
                </c:pt>
                <c:pt idx="5">
                  <c:v>939734.97322321776</c:v>
                </c:pt>
                <c:pt idx="6">
                  <c:v>0</c:v>
                </c:pt>
                <c:pt idx="7">
                  <c:v>376218.31292121427</c:v>
                </c:pt>
                <c:pt idx="8">
                  <c:v>0</c:v>
                </c:pt>
                <c:pt idx="9">
                  <c:v>599318.31292121427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CB-4B36-BC75-E88D5066E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3692240"/>
        <c:axId val="863676400"/>
      </c:barChart>
      <c:catAx>
        <c:axId val="86369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3676400"/>
        <c:crosses val="autoZero"/>
        <c:auto val="1"/>
        <c:lblAlgn val="ctr"/>
        <c:lblOffset val="100"/>
        <c:noMultiLvlLbl val="0"/>
      </c:catAx>
      <c:valAx>
        <c:axId val="8636764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" sourceLinked="0"/>
        <c:majorTickMark val="none"/>
        <c:minorTickMark val="none"/>
        <c:tickLblPos val="nextTo"/>
        <c:crossAx val="8636922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strRef>
          <c:f>Dashboard!$H$38</c:f>
          <c:strCache>
            <c:ptCount val="1"/>
            <c:pt idx="0">
              <c:v>FCL Acumulado — 2025 a 2045  (Breakeven 2037 ~ Astra 0%)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300" b="1" i="0" strike="noStrike" kern="1200" spc="0" baseline="0">
              <a:solidFill>
                <a:srgbClr val="1A1A2E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Dashboard!$B$36</c:f>
              <c:strCache>
                <c:ptCount val="1"/>
                <c:pt idx="0">
                  <c:v>FCL Anual</c:v>
                </c:pt>
              </c:strCache>
            </c:strRef>
          </c:tx>
          <c:spPr>
            <a:ln w="12700" cap="rnd">
              <a:solidFill>
                <a:srgbClr val="CCCCCC"/>
              </a:solidFill>
              <a:prstDash val="lgDash"/>
              <a:round/>
            </a:ln>
          </c:spPr>
          <c:marker>
            <c:symbol val="none"/>
          </c:marker>
          <c:cat>
            <c:strRef>
              <c:f>Dashboard!$A$37:$A$57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Dashboard!$B$37:$B$57</c:f>
              <c:numCache>
                <c:formatCode>#,##0</c:formatCode>
                <c:ptCount val="21"/>
                <c:pt idx="0">
                  <c:v>-5498000</c:v>
                </c:pt>
                <c:pt idx="1">
                  <c:v>599318.31292121427</c:v>
                </c:pt>
                <c:pt idx="2">
                  <c:v>584732.31292121427</c:v>
                </c:pt>
                <c:pt idx="3">
                  <c:v>570146.31292121427</c:v>
                </c:pt>
                <c:pt idx="4">
                  <c:v>555560.31292121427</c:v>
                </c:pt>
                <c:pt idx="5">
                  <c:v>540974.31292121427</c:v>
                </c:pt>
                <c:pt idx="6">
                  <c:v>526388.31292121427</c:v>
                </c:pt>
                <c:pt idx="7">
                  <c:v>511802.31292121427</c:v>
                </c:pt>
                <c:pt idx="8">
                  <c:v>497216.31292121427</c:v>
                </c:pt>
                <c:pt idx="9">
                  <c:v>482630.31292121427</c:v>
                </c:pt>
                <c:pt idx="10">
                  <c:v>468044.31292121427</c:v>
                </c:pt>
                <c:pt idx="11">
                  <c:v>468044.31292121427</c:v>
                </c:pt>
                <c:pt idx="12">
                  <c:v>468044.31292121427</c:v>
                </c:pt>
                <c:pt idx="13">
                  <c:v>468044.31292121427</c:v>
                </c:pt>
                <c:pt idx="14">
                  <c:v>468044.31292121427</c:v>
                </c:pt>
                <c:pt idx="15">
                  <c:v>468044.31292121427</c:v>
                </c:pt>
                <c:pt idx="16">
                  <c:v>468044.31292121427</c:v>
                </c:pt>
                <c:pt idx="17">
                  <c:v>468044.31292121427</c:v>
                </c:pt>
                <c:pt idx="18">
                  <c:v>468044.31292121427</c:v>
                </c:pt>
                <c:pt idx="19">
                  <c:v>468044.31292121427</c:v>
                </c:pt>
                <c:pt idx="20">
                  <c:v>468044.31292121427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F-4AFD-A7F5-C94D91FF1B3D}"/>
            </c:ext>
          </c:extLst>
        </c:ser>
        <c:ser>
          <c:idx val="1"/>
          <c:order val="1"/>
          <c:tx>
            <c:strRef>
              <c:f>Dashboard!$C$36</c:f>
              <c:strCache>
                <c:ptCount val="1"/>
                <c:pt idx="0">
                  <c:v>FCL Acumulado</c:v>
                </c:pt>
              </c:strCache>
            </c:strRef>
          </c:tx>
          <c:spPr>
            <a:ln w="38100" cap="rnd">
              <a:solidFill>
                <a:srgbClr val="1F4E78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1F4E78"/>
              </a:solidFill>
              <a:ln w="9525">
                <a:solidFill>
                  <a:srgbClr val="1F4E78"/>
                </a:solidFill>
                <a:prstDash val="solid"/>
              </a:ln>
            </c:spPr>
          </c:marker>
          <c:cat>
            <c:strRef>
              <c:f>Dashboard!$A$37:$A$57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Dashboard!$C$37:$C$57</c:f>
              <c:numCache>
                <c:formatCode>#,##0</c:formatCode>
                <c:ptCount val="21"/>
                <c:pt idx="0">
                  <c:v>-5498000</c:v>
                </c:pt>
                <c:pt idx="1">
                  <c:v>-4898681.6870787861</c:v>
                </c:pt>
                <c:pt idx="2">
                  <c:v>-4313949.3741575722</c:v>
                </c:pt>
                <c:pt idx="3">
                  <c:v>-3743803.0612363578</c:v>
                </c:pt>
                <c:pt idx="4">
                  <c:v>-3188242.7483151434</c:v>
                </c:pt>
                <c:pt idx="5">
                  <c:v>-2647268.435393929</c:v>
                </c:pt>
                <c:pt idx="6">
                  <c:v>-2120880.1224727146</c:v>
                </c:pt>
                <c:pt idx="7">
                  <c:v>-1609077.8095515002</c:v>
                </c:pt>
                <c:pt idx="8">
                  <c:v>-1111861.4966302859</c:v>
                </c:pt>
                <c:pt idx="9">
                  <c:v>-629231.1837090716</c:v>
                </c:pt>
                <c:pt idx="10">
                  <c:v>-161186.87078785733</c:v>
                </c:pt>
                <c:pt idx="11">
                  <c:v>306857.44213335693</c:v>
                </c:pt>
                <c:pt idx="12">
                  <c:v>774901.7550545712</c:v>
                </c:pt>
                <c:pt idx="13">
                  <c:v>1242946.0679757856</c:v>
                </c:pt>
                <c:pt idx="14">
                  <c:v>1710990.380897</c:v>
                </c:pt>
                <c:pt idx="15">
                  <c:v>2179034.6938182143</c:v>
                </c:pt>
                <c:pt idx="16">
                  <c:v>2647079.0067394287</c:v>
                </c:pt>
                <c:pt idx="17">
                  <c:v>3115123.3196606431</c:v>
                </c:pt>
                <c:pt idx="18">
                  <c:v>3583167.6325818575</c:v>
                </c:pt>
                <c:pt idx="19">
                  <c:v>4051211.9455030719</c:v>
                </c:pt>
                <c:pt idx="20">
                  <c:v>4519256.2584242858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5F-4AFD-A7F5-C94D91FF1B3D}"/>
            </c:ext>
          </c:extLst>
        </c:ser>
        <c:ser>
          <c:idx val="2"/>
          <c:order val="2"/>
          <c:tx>
            <c:strRef>
              <c:f>Dashboard!$D$36</c:f>
              <c:strCache>
                <c:ptCount val="1"/>
                <c:pt idx="0">
                  <c:v>Breakeven</c:v>
                </c:pt>
              </c:strCache>
            </c:strRef>
          </c:tx>
          <c:spPr>
            <a:ln w="12700" cap="rnd">
              <a:solidFill>
                <a:srgbClr val="FFD700"/>
              </a:solidFill>
              <a:prstDash val="solid"/>
              <a:round/>
            </a:ln>
          </c:spPr>
          <c:marker>
            <c:symbol val="diamond"/>
            <c:size val="14"/>
            <c:spPr>
              <a:solidFill>
                <a:srgbClr val="FFD700"/>
              </a:solidFill>
              <a:ln w="9525">
                <a:solidFill>
                  <a:srgbClr val="B8860B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rgbClr val="B8860B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Dashboard!$A$37:$A$57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Dashboard!$D$37:$D$57</c:f>
              <c:numCache>
                <c:formatCode>General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306857.44213335693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5F-4AFD-A7F5-C94D91FF1B3D}"/>
            </c:ext>
          </c:extLst>
        </c:ser>
        <c:ser>
          <c:idx val="3"/>
          <c:order val="3"/>
          <c:tx>
            <c:strRef>
              <c:f>Dashboard!$E$36</c:f>
              <c:strCache>
                <c:ptCount val="1"/>
                <c:pt idx="0">
                  <c:v>Zero</c:v>
                </c:pt>
              </c:strCache>
            </c:strRef>
          </c:tx>
          <c:spPr>
            <a:ln w="12700" cap="rnd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Dashboard!$A$37:$A$57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Dashboard!$E$37:$E$57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5F-4AFD-A7F5-C94D91FF1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722000"/>
        <c:axId val="863705680"/>
      </c:lineChart>
      <c:catAx>
        <c:axId val="86372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3705680"/>
        <c:crosses val="autoZero"/>
        <c:auto val="1"/>
        <c:lblAlgn val="ctr"/>
        <c:lblOffset val="100"/>
        <c:noMultiLvlLbl val="0"/>
      </c:catAx>
      <c:valAx>
        <c:axId val="8637056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crossAx val="863722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Cenário A — DRE 2026 (Viena paga CAPEX, fee Astra 0%)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GraficosV8!$B$3</c:f>
              <c:strCache>
                <c:ptCount val="1"/>
                <c:pt idx="0">
                  <c:v>Cenário A (fee 0%)</c:v>
                </c:pt>
              </c:strCache>
            </c:strRef>
          </c:tx>
          <c:spPr>
            <a:solidFill>
              <a:srgbClr val="1F4E79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GraficosV8!$A$4:$A$11</c:f>
              <c:strCache>
                <c:ptCount val="8"/>
                <c:pt idx="0">
                  <c:v>Receita bruta</c:v>
                </c:pt>
                <c:pt idx="1">
                  <c:v>(–) Fee Astra</c:v>
                </c:pt>
                <c:pt idx="2">
                  <c:v>(–) OPEX total</c:v>
                </c:pt>
                <c:pt idx="3">
                  <c:v>EBITDA</c:v>
                </c:pt>
                <c:pt idx="4">
                  <c:v>(–) Depreciação</c:v>
                </c:pt>
                <c:pt idx="5">
                  <c:v>EBIT</c:v>
                </c:pt>
                <c:pt idx="6">
                  <c:v>(–) Tributos</c:v>
                </c:pt>
                <c:pt idx="7">
                  <c:v>Lucro líquido</c:v>
                </c:pt>
              </c:strCache>
            </c:strRef>
          </c:cat>
          <c:val>
            <c:numRef>
              <c:f>GraficosV8!$B$4:$B$11</c:f>
              <c:numCache>
                <c:formatCode>\R"R$"\ #,##0;\(\R"R$"\ #,##0\);"-"</c:formatCode>
                <c:ptCount val="8"/>
                <c:pt idx="0">
                  <c:v>2378161.69</c:v>
                </c:pt>
                <c:pt idx="1">
                  <c:v>0</c:v>
                </c:pt>
                <c:pt idx="2">
                  <c:v>-1733138.97</c:v>
                </c:pt>
                <c:pt idx="3">
                  <c:v>645022.71999999997</c:v>
                </c:pt>
                <c:pt idx="4">
                  <c:v>-324312.5</c:v>
                </c:pt>
                <c:pt idx="5">
                  <c:v>320710.21999999997</c:v>
                </c:pt>
                <c:pt idx="6">
                  <c:v>-85041.48</c:v>
                </c:pt>
                <c:pt idx="7">
                  <c:v>235668.75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2-45F6-BC86-0D645D25C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235136"/>
        <c:axId val="1331232256"/>
      </c:barChart>
      <c:catAx>
        <c:axId val="133123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1232256"/>
        <c:crosses val="autoZero"/>
        <c:auto val="1"/>
        <c:lblAlgn val="ctr"/>
        <c:lblOffset val="100"/>
        <c:noMultiLvlLbl val="0"/>
      </c:catAx>
      <c:valAx>
        <c:axId val="13312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\R&quot;R$&quot;\ #.##0;\(\R&quot;R$&quot;\ #.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123513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Cenário B — DRE 2026 (Astra parceira, fee 10%)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GraficosV8!$C$3</c:f>
              <c:strCache>
                <c:ptCount val="1"/>
                <c:pt idx="0">
                  <c:v>Cenário B (fee 10%)</c:v>
                </c:pt>
              </c:strCache>
            </c:strRef>
          </c:tx>
          <c:spPr>
            <a:solidFill>
              <a:srgbClr val="D9770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GraficosV8!$A$4:$A$11</c:f>
              <c:strCache>
                <c:ptCount val="8"/>
                <c:pt idx="0">
                  <c:v>Receita bruta</c:v>
                </c:pt>
                <c:pt idx="1">
                  <c:v>(–) Fee Astra</c:v>
                </c:pt>
                <c:pt idx="2">
                  <c:v>(–) OPEX total</c:v>
                </c:pt>
                <c:pt idx="3">
                  <c:v>EBITDA</c:v>
                </c:pt>
                <c:pt idx="4">
                  <c:v>(–) Depreciação</c:v>
                </c:pt>
                <c:pt idx="5">
                  <c:v>EBIT</c:v>
                </c:pt>
                <c:pt idx="6">
                  <c:v>(–) Tributos</c:v>
                </c:pt>
                <c:pt idx="7">
                  <c:v>Lucro líquido</c:v>
                </c:pt>
              </c:strCache>
            </c:strRef>
          </c:cat>
          <c:val>
            <c:numRef>
              <c:f>GraficosV8!$C$4:$C$11</c:f>
              <c:numCache>
                <c:formatCode>\R"R$"\ #,##0;\(\R"R$"\ #,##0\);"-"</c:formatCode>
                <c:ptCount val="8"/>
                <c:pt idx="0">
                  <c:v>2378161.69</c:v>
                </c:pt>
                <c:pt idx="1">
                  <c:v>-237816.17</c:v>
                </c:pt>
                <c:pt idx="2">
                  <c:v>-1733138.97</c:v>
                </c:pt>
                <c:pt idx="3">
                  <c:v>407206.55</c:v>
                </c:pt>
                <c:pt idx="4">
                  <c:v>-254100</c:v>
                </c:pt>
                <c:pt idx="5">
                  <c:v>153106.54999999999</c:v>
                </c:pt>
                <c:pt idx="6">
                  <c:v>-36745.57</c:v>
                </c:pt>
                <c:pt idx="7">
                  <c:v>116360.98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6-46D6-85C3-8BC03D89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492496"/>
        <c:axId val="1780492976"/>
      </c:barChart>
      <c:catAx>
        <c:axId val="178049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0492976"/>
        <c:crosses val="autoZero"/>
        <c:auto val="1"/>
        <c:lblAlgn val="ctr"/>
        <c:lblOffset val="100"/>
        <c:noMultiLvlLbl val="0"/>
      </c:catAx>
      <c:valAx>
        <c:axId val="17804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\R&quot;R$&quot;\ #.##0;\(\R&quot;R$&quot;\ #.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049249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Cenário A — FCL Acumulado 2025–2045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GraficosV8!$A$16</c:f>
              <c:strCache>
                <c:ptCount val="1"/>
                <c:pt idx="0">
                  <c:v>Ano</c:v>
                </c:pt>
              </c:strCache>
            </c:strRef>
          </c:tx>
          <c:spPr>
            <a:ln w="28575" cap="rnd">
              <a:solidFill>
                <a:srgbClr val="1F4E79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</c:spPr>
          </c:marker>
          <c:val>
            <c:numRef>
              <c:f>GraficosV8!$A$17:$A$37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F-403D-853E-6BFD619C0FD3}"/>
            </c:ext>
          </c:extLst>
        </c:ser>
        <c:ser>
          <c:idx val="1"/>
          <c:order val="1"/>
          <c:tx>
            <c:strRef>
              <c:f>GraficosV8!$C$16</c:f>
              <c:strCache>
                <c:ptCount val="1"/>
                <c:pt idx="0">
                  <c:v>Cenário B (fee 10%)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GraficosV8!$C$17:$C$37</c:f>
              <c:numCache>
                <c:formatCode>\R"R$"\ #,##0;\(\R"R$"\ #,##0\);"-"</c:formatCode>
                <c:ptCount val="21"/>
                <c:pt idx="0">
                  <c:v>-4572000</c:v>
                </c:pt>
                <c:pt idx="1">
                  <c:v>-4201539.0199999996</c:v>
                </c:pt>
                <c:pt idx="2">
                  <c:v>-3831078.04</c:v>
                </c:pt>
                <c:pt idx="3">
                  <c:v>-3460617.06</c:v>
                </c:pt>
                <c:pt idx="4">
                  <c:v>-3090156.07</c:v>
                </c:pt>
                <c:pt idx="5">
                  <c:v>-2719695.09</c:v>
                </c:pt>
                <c:pt idx="6">
                  <c:v>-2349234.11</c:v>
                </c:pt>
                <c:pt idx="7">
                  <c:v>-1978773.13</c:v>
                </c:pt>
                <c:pt idx="8">
                  <c:v>-1608312.15</c:v>
                </c:pt>
                <c:pt idx="9">
                  <c:v>-1237851.17</c:v>
                </c:pt>
                <c:pt idx="10">
                  <c:v>-867390.19</c:v>
                </c:pt>
                <c:pt idx="11">
                  <c:v>-509169.2</c:v>
                </c:pt>
                <c:pt idx="12">
                  <c:v>-150948.22</c:v>
                </c:pt>
                <c:pt idx="13">
                  <c:v>207272.76</c:v>
                </c:pt>
                <c:pt idx="14">
                  <c:v>565493.74</c:v>
                </c:pt>
                <c:pt idx="15">
                  <c:v>923714.72</c:v>
                </c:pt>
                <c:pt idx="16">
                  <c:v>1281935.7</c:v>
                </c:pt>
                <c:pt idx="17">
                  <c:v>1640156.69</c:v>
                </c:pt>
                <c:pt idx="18">
                  <c:v>1998377.67</c:v>
                </c:pt>
                <c:pt idx="19">
                  <c:v>2356598.65</c:v>
                </c:pt>
                <c:pt idx="20">
                  <c:v>2714819.63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F-403D-853E-6BFD619C0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837392"/>
        <c:axId val="1779839792"/>
      </c:lineChart>
      <c:catAx>
        <c:axId val="177983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9839792"/>
        <c:crosses val="autoZero"/>
        <c:auto val="1"/>
        <c:lblAlgn val="ctr"/>
        <c:lblOffset val="100"/>
        <c:noMultiLvlLbl val="0"/>
      </c:catAx>
      <c:valAx>
        <c:axId val="17798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FCL Acumulado (R$)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\R&quot;R$&quot;\ #.##0;\(\R&quot;R$&quot;\ #.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983739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Cenário B — FCL Acumulado 2025–2045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GraficosV8!$B$16</c:f>
              <c:strCache>
                <c:ptCount val="1"/>
                <c:pt idx="0">
                  <c:v>Cenário A (fee 0%)</c:v>
                </c:pt>
              </c:strCache>
            </c:strRef>
          </c:tx>
          <c:spPr>
            <a:ln w="28575" cap="rnd">
              <a:solidFill>
                <a:srgbClr val="D9770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D97706"/>
              </a:solidFill>
              <a:ln w="9525">
                <a:solidFill>
                  <a:srgbClr val="D97706"/>
                </a:solidFill>
                <a:prstDash val="solid"/>
              </a:ln>
            </c:spPr>
          </c:marker>
          <c:val>
            <c:numRef>
              <c:f>GraficosV8!$B$17:$B$37</c:f>
              <c:numCache>
                <c:formatCode>\R"R$"\ #,##0;\(\R"R$"\ #,##0\);"-"</c:formatCode>
                <c:ptCount val="21"/>
                <c:pt idx="0">
                  <c:v>-5274125</c:v>
                </c:pt>
                <c:pt idx="1">
                  <c:v>-4714143.75</c:v>
                </c:pt>
                <c:pt idx="2">
                  <c:v>-4154162.5</c:v>
                </c:pt>
                <c:pt idx="3">
                  <c:v>-3594181.26</c:v>
                </c:pt>
                <c:pt idx="4">
                  <c:v>-3034200.01</c:v>
                </c:pt>
                <c:pt idx="5">
                  <c:v>-2474218.7599999998</c:v>
                </c:pt>
                <c:pt idx="6">
                  <c:v>-1914237.51</c:v>
                </c:pt>
                <c:pt idx="7">
                  <c:v>-1354256.27</c:v>
                </c:pt>
                <c:pt idx="8">
                  <c:v>-794275.02</c:v>
                </c:pt>
                <c:pt idx="9">
                  <c:v>-234293.77</c:v>
                </c:pt>
                <c:pt idx="10">
                  <c:v>325687.48</c:v>
                </c:pt>
                <c:pt idx="11">
                  <c:v>844456.47</c:v>
                </c:pt>
                <c:pt idx="12">
                  <c:v>1363225.47</c:v>
                </c:pt>
                <c:pt idx="13">
                  <c:v>1881994.47</c:v>
                </c:pt>
                <c:pt idx="14">
                  <c:v>2400763.4700000002</c:v>
                </c:pt>
                <c:pt idx="15">
                  <c:v>2919532.46</c:v>
                </c:pt>
                <c:pt idx="16">
                  <c:v>3438301.46</c:v>
                </c:pt>
                <c:pt idx="17">
                  <c:v>3957070.46</c:v>
                </c:pt>
                <c:pt idx="18">
                  <c:v>4475839.46</c:v>
                </c:pt>
                <c:pt idx="19">
                  <c:v>4994608.45</c:v>
                </c:pt>
                <c:pt idx="20">
                  <c:v>5513377.4500000002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D-4911-9719-49BC39BF5992}"/>
            </c:ext>
          </c:extLst>
        </c:ser>
        <c:ser>
          <c:idx val="2"/>
          <c:order val="1"/>
          <c:tx>
            <c:strRef>
              <c:f>GraficosV8!$C$16</c:f>
              <c:strCache>
                <c:ptCount val="1"/>
                <c:pt idx="0">
                  <c:v>Cenário B (fee 10%)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GraficosV8!$C$17:$C$37</c:f>
              <c:numCache>
                <c:formatCode>\R"R$"\ #,##0;\(\R"R$"\ #,##0\);"-"</c:formatCode>
                <c:ptCount val="21"/>
                <c:pt idx="0">
                  <c:v>-4572000</c:v>
                </c:pt>
                <c:pt idx="1">
                  <c:v>-4201539.0199999996</c:v>
                </c:pt>
                <c:pt idx="2">
                  <c:v>-3831078.04</c:v>
                </c:pt>
                <c:pt idx="3">
                  <c:v>-3460617.06</c:v>
                </c:pt>
                <c:pt idx="4">
                  <c:v>-3090156.07</c:v>
                </c:pt>
                <c:pt idx="5">
                  <c:v>-2719695.09</c:v>
                </c:pt>
                <c:pt idx="6">
                  <c:v>-2349234.11</c:v>
                </c:pt>
                <c:pt idx="7">
                  <c:v>-1978773.13</c:v>
                </c:pt>
                <c:pt idx="8">
                  <c:v>-1608312.15</c:v>
                </c:pt>
                <c:pt idx="9">
                  <c:v>-1237851.17</c:v>
                </c:pt>
                <c:pt idx="10">
                  <c:v>-867390.19</c:v>
                </c:pt>
                <c:pt idx="11">
                  <c:v>-509169.2</c:v>
                </c:pt>
                <c:pt idx="12">
                  <c:v>-150948.22</c:v>
                </c:pt>
                <c:pt idx="13">
                  <c:v>207272.76</c:v>
                </c:pt>
                <c:pt idx="14">
                  <c:v>565493.74</c:v>
                </c:pt>
                <c:pt idx="15">
                  <c:v>923714.72</c:v>
                </c:pt>
                <c:pt idx="16">
                  <c:v>1281935.7</c:v>
                </c:pt>
                <c:pt idx="17">
                  <c:v>1640156.69</c:v>
                </c:pt>
                <c:pt idx="18">
                  <c:v>1998377.67</c:v>
                </c:pt>
                <c:pt idx="19">
                  <c:v>2356598.65</c:v>
                </c:pt>
                <c:pt idx="20">
                  <c:v>2714819.63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D-4911-9719-49BC39BF5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697712"/>
        <c:axId val="1082681392"/>
      </c:lineChart>
      <c:catAx>
        <c:axId val="108269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681392"/>
        <c:crosses val="autoZero"/>
        <c:auto val="1"/>
        <c:lblAlgn val="ctr"/>
        <c:lblOffset val="100"/>
        <c:noMultiLvlLbl val="0"/>
      </c:catAx>
      <c:valAx>
        <c:axId val="10826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FCL Acumulado (R$)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\R&quot;R$&quot;\ #.##0;\(\R&quot;R$&quot;\ #.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69771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Sensibilidade — VPL e TIR por combinação Cenário × Modo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VPL @ WACC 10%</c:v>
          </c:tx>
          <c:spPr>
            <a:solidFill>
              <a:srgbClr val="1F4E79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GraficosV8!$E$17:$E$20</c:f>
              <c:strCache>
                <c:ptCount val="4"/>
                <c:pt idx="0">
                  <c:v>Cenário A — referencia antiga removida</c:v>
                </c:pt>
                <c:pt idx="1">
                  <c:v>Cenário A — caso-base eletrico</c:v>
                </c:pt>
                <c:pt idx="2">
                  <c:v>Cenário B — referencia antiga removida</c:v>
                </c:pt>
                <c:pt idx="3">
                  <c:v>Cenário B — caso-base eletrico</c:v>
                </c:pt>
              </c:strCache>
            </c:strRef>
          </c:cat>
          <c:val>
            <c:numRef>
              <c:f>GraficosV8!$F$17:$F$20</c:f>
              <c:numCache>
                <c:formatCode>\R"R$"\ #,##0;\(\R"R$"\ #,##0\);"-"</c:formatCode>
                <c:ptCount val="4"/>
                <c:pt idx="0">
                  <c:v>-1678052.61</c:v>
                </c:pt>
                <c:pt idx="1">
                  <c:v>-549382.41</c:v>
                </c:pt>
                <c:pt idx="2">
                  <c:v>-2606379.89</c:v>
                </c:pt>
                <c:pt idx="3">
                  <c:v>-1315503.04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8-4123-8715-06B4C3B93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641552"/>
        <c:axId val="1772641072"/>
      </c:barChart>
      <c:lineChart>
        <c:grouping val="standard"/>
        <c:varyColors val="0"/>
        <c:ser>
          <c:idx val="1"/>
          <c:order val="1"/>
          <c:tx>
            <c:v>TIR (%)</c:v>
          </c:tx>
          <c:spPr>
            <a:ln w="28575" cap="rnd">
              <a:solidFill>
                <a:srgbClr val="D97706"/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D97706"/>
              </a:solidFill>
              <a:ln w="9525">
                <a:solidFill>
                  <a:srgbClr val="D97706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rgbClr val="D9770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GraficosV8!$E$17:$E$20</c:f>
              <c:strCache>
                <c:ptCount val="4"/>
                <c:pt idx="0">
                  <c:v>Cenário A — referencia antiga removida</c:v>
                </c:pt>
                <c:pt idx="1">
                  <c:v>Cenário A — caso-base eletrico</c:v>
                </c:pt>
                <c:pt idx="2">
                  <c:v>Cenário B — referencia antiga removida</c:v>
                </c:pt>
                <c:pt idx="3">
                  <c:v>Cenário B — caso-base eletrico</c:v>
                </c:pt>
              </c:strCache>
            </c:strRef>
          </c:cat>
          <c:val>
            <c:numRef>
              <c:f>GraficosV8!$G$17:$G$20</c:f>
              <c:numCache>
                <c:formatCode>0.00%</c:formatCode>
                <c:ptCount val="4"/>
                <c:pt idx="0">
                  <c:v>4.3200000000000002E-2</c:v>
                </c:pt>
                <c:pt idx="1">
                  <c:v>8.2500000000000004E-2</c:v>
                </c:pt>
                <c:pt idx="2">
                  <c:v>-1.23E-2</c:v>
                </c:pt>
                <c:pt idx="3">
                  <c:v>4.9700000000000001E-2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8-4123-8715-06B4C3B93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3406704"/>
        <c:axId val="1781545200"/>
      </c:lineChart>
      <c:catAx>
        <c:axId val="177264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2641072"/>
        <c:crosses val="autoZero"/>
        <c:auto val="1"/>
        <c:lblAlgn val="ctr"/>
        <c:lblOffset val="100"/>
        <c:noMultiLvlLbl val="0"/>
      </c:catAx>
      <c:valAx>
        <c:axId val="177264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VPL (R$)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\R&quot;R$&quot;\ #.##0;\(\R&quot;R$&quot;\ #.##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2641552"/>
        <c:crosses val="autoZero"/>
        <c:crossBetween val="between"/>
      </c:valAx>
      <c:catAx>
        <c:axId val="178340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1545200"/>
        <c:crosses val="autoZero"/>
        <c:auto val="1"/>
        <c:lblAlgn val="ctr"/>
        <c:lblOffset val="100"/>
        <c:noMultiLvlLbl val="0"/>
      </c:catAx>
      <c:valAx>
        <c:axId val="17815452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3406704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0</xdr:row>
      <xdr:rowOff>254000</xdr:rowOff>
    </xdr:from>
    <xdr:to>
      <xdr:col>20</xdr:col>
      <xdr:colOff>555625</xdr:colOff>
      <xdr:row>26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200025</xdr:colOff>
      <xdr:row>0</xdr:row>
      <xdr:rowOff>254000</xdr:rowOff>
    </xdr:from>
    <xdr:to>
      <xdr:col>33</xdr:col>
      <xdr:colOff>250825</xdr:colOff>
      <xdr:row>26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504825</xdr:colOff>
      <xdr:row>27</xdr:row>
      <xdr:rowOff>114300</xdr:rowOff>
    </xdr:from>
    <xdr:to>
      <xdr:col>20</xdr:col>
      <xdr:colOff>555625</xdr:colOff>
      <xdr:row>52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200025</xdr:colOff>
      <xdr:row>27</xdr:row>
      <xdr:rowOff>114300</xdr:rowOff>
    </xdr:from>
    <xdr:to>
      <xdr:col>33</xdr:col>
      <xdr:colOff>250825</xdr:colOff>
      <xdr:row>52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158750</xdr:colOff>
      <xdr:row>0</xdr:row>
      <xdr:rowOff>0</xdr:rowOff>
    </xdr:from>
    <xdr:to>
      <xdr:col>10</xdr:col>
      <xdr:colOff>581025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158750</xdr:colOff>
      <xdr:row>25</xdr:row>
      <xdr:rowOff>44450</xdr:rowOff>
    </xdr:from>
    <xdr:to>
      <xdr:col>10</xdr:col>
      <xdr:colOff>581025</xdr:colOff>
      <xdr:row>49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98425</xdr:colOff>
      <xdr:row>0</xdr:row>
      <xdr:rowOff>0</xdr:rowOff>
    </xdr:from>
    <xdr:to>
      <xdr:col>24</xdr:col>
      <xdr:colOff>301625</xdr:colOff>
      <xdr:row>23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98425</xdr:colOff>
      <xdr:row>25</xdr:row>
      <xdr:rowOff>44450</xdr:rowOff>
    </xdr:from>
    <xdr:to>
      <xdr:col>24</xdr:col>
      <xdr:colOff>301625</xdr:colOff>
      <xdr:row>49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107950</xdr:rowOff>
    </xdr:from>
    <xdr:to>
      <xdr:col>6</xdr:col>
      <xdr:colOff>282575</xdr:colOff>
      <xdr:row>77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B3:C42"/>
  <sheetViews>
    <sheetView zoomScaleNormal="100" workbookViewId="0">
      <selection activeCell="C37" sqref="C37"/>
    </sheetView>
  </sheetViews>
  <sheetFormatPr defaultColWidth="8.7109375" defaultRowHeight="15"/>
  <cols>
    <col min="1" max="1" width="3" customWidth="1"/>
    <col min="2" max="2" width="50" customWidth="1"/>
    <col min="3" max="3" width="30" customWidth="1"/>
    <col min="4" max="4" width="20" customWidth="1"/>
  </cols>
  <sheetData>
    <row r="3" spans="2:3" ht="26.25" customHeight="1">
      <c r="B3" s="1" t="s">
        <v>31</v>
      </c>
    </row>
    <row r="5" spans="2:3" ht="18" customHeight="1">
      <c r="B5" s="2" t="s">
        <v>32</v>
      </c>
    </row>
    <row r="6" spans="2:3">
      <c r="B6" s="3" t="s">
        <v>33</v>
      </c>
    </row>
    <row r="9" spans="2:3">
      <c r="B9" s="4" t="s">
        <v>34</v>
      </c>
    </row>
    <row r="10" spans="2:3">
      <c r="B10" s="5" t="s">
        <v>35</v>
      </c>
      <c r="C10" s="6" t="s">
        <v>36</v>
      </c>
    </row>
    <row r="11" spans="2:3">
      <c r="B11" s="5" t="s">
        <v>37</v>
      </c>
      <c r="C11" s="6" t="s">
        <v>38</v>
      </c>
    </row>
    <row r="12" spans="2:3">
      <c r="B12" s="5" t="s">
        <v>39</v>
      </c>
      <c r="C12" s="6" t="s">
        <v>40</v>
      </c>
    </row>
    <row r="13" spans="2:3">
      <c r="B13" s="5" t="s">
        <v>41</v>
      </c>
      <c r="C13" s="6" t="s">
        <v>42</v>
      </c>
    </row>
    <row r="14" spans="2:3">
      <c r="B14" s="5" t="s">
        <v>43</v>
      </c>
      <c r="C14" s="6" t="s">
        <v>44</v>
      </c>
    </row>
    <row r="15" spans="2:3">
      <c r="B15" s="5" t="s">
        <v>45</v>
      </c>
      <c r="C15" s="6" t="s">
        <v>46</v>
      </c>
    </row>
    <row r="16" spans="2:3">
      <c r="B16" s="5" t="s">
        <v>47</v>
      </c>
      <c r="C16" s="6" t="s">
        <v>48</v>
      </c>
    </row>
    <row r="17" spans="2:3">
      <c r="B17" s="5" t="s">
        <v>49</v>
      </c>
      <c r="C17" s="6" t="s">
        <v>50</v>
      </c>
    </row>
    <row r="18" spans="2:3">
      <c r="B18" s="5" t="s">
        <v>51</v>
      </c>
      <c r="C18" s="6" t="s">
        <v>52</v>
      </c>
    </row>
    <row r="19" spans="2:3">
      <c r="B19" s="5" t="s">
        <v>53</v>
      </c>
      <c r="C19" s="6" t="s">
        <v>54</v>
      </c>
    </row>
    <row r="21" spans="2:3">
      <c r="B21" s="4" t="s">
        <v>55</v>
      </c>
    </row>
    <row r="22" spans="2:3">
      <c r="B22" s="7" t="s">
        <v>56</v>
      </c>
      <c r="C22" s="8" t="s">
        <v>57</v>
      </c>
    </row>
    <row r="23" spans="2:3">
      <c r="B23" s="7" t="s">
        <v>58</v>
      </c>
      <c r="C23" s="8" t="s">
        <v>59</v>
      </c>
    </row>
    <row r="24" spans="2:3">
      <c r="B24" s="7" t="s">
        <v>60</v>
      </c>
      <c r="C24" s="8" t="s">
        <v>61</v>
      </c>
    </row>
    <row r="25" spans="2:3">
      <c r="B25" s="7" t="s">
        <v>62</v>
      </c>
      <c r="C25" s="8" t="s">
        <v>63</v>
      </c>
    </row>
    <row r="26" spans="2:3">
      <c r="B26" s="7" t="s">
        <v>64</v>
      </c>
      <c r="C26" s="8" t="s">
        <v>65</v>
      </c>
    </row>
    <row r="27" spans="2:3">
      <c r="B27" s="7" t="s">
        <v>66</v>
      </c>
      <c r="C27" s="8" t="s">
        <v>67</v>
      </c>
    </row>
    <row r="28" spans="2:3">
      <c r="B28" s="7" t="s">
        <v>68</v>
      </c>
      <c r="C28" s="8" t="s">
        <v>69</v>
      </c>
    </row>
    <row r="29" spans="2:3">
      <c r="B29" s="7" t="s">
        <v>70</v>
      </c>
      <c r="C29" s="8" t="s">
        <v>71</v>
      </c>
    </row>
    <row r="30" spans="2:3">
      <c r="B30" s="7" t="s">
        <v>72</v>
      </c>
      <c r="C30" s="8" t="s">
        <v>73</v>
      </c>
    </row>
    <row r="31" spans="2:3">
      <c r="B31" s="7" t="s">
        <v>74</v>
      </c>
      <c r="C31" s="8" t="s">
        <v>75</v>
      </c>
    </row>
    <row r="32" spans="2:3">
      <c r="B32" s="7" t="s">
        <v>76</v>
      </c>
      <c r="C32" s="8" t="s">
        <v>77</v>
      </c>
    </row>
    <row r="35" spans="2:3">
      <c r="B35" s="4" t="s">
        <v>78</v>
      </c>
    </row>
    <row r="36" spans="2:3">
      <c r="B36" s="9" t="s">
        <v>79</v>
      </c>
      <c r="C36" s="8" t="s">
        <v>80</v>
      </c>
    </row>
    <row r="37" spans="2:3">
      <c r="B37" s="6" t="s">
        <v>81</v>
      </c>
      <c r="C37" s="8" t="s">
        <v>82</v>
      </c>
    </row>
    <row r="38" spans="2:3">
      <c r="B38" s="10" t="s">
        <v>83</v>
      </c>
      <c r="C38" s="8" t="s">
        <v>84</v>
      </c>
    </row>
    <row r="39" spans="2:3">
      <c r="B39" s="5" t="s">
        <v>85</v>
      </c>
      <c r="C39" s="8" t="s">
        <v>86</v>
      </c>
    </row>
    <row r="40" spans="2:3">
      <c r="B40" s="5" t="s">
        <v>87</v>
      </c>
      <c r="C40" s="8" t="s">
        <v>88</v>
      </c>
    </row>
    <row r="42" spans="2:3">
      <c r="B42" s="11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700"/>
  </sheetPr>
  <dimension ref="A1:K24"/>
  <sheetViews>
    <sheetView zoomScaleNormal="100" workbookViewId="0">
      <selection activeCell="E13" sqref="E13"/>
    </sheetView>
  </sheetViews>
  <sheetFormatPr defaultColWidth="8.7109375" defaultRowHeight="15"/>
  <cols>
    <col min="1" max="1" width="3" customWidth="1"/>
    <col min="2" max="2" width="30" customWidth="1"/>
    <col min="3" max="3" width="22" customWidth="1"/>
    <col min="4" max="4" width="30" customWidth="1"/>
    <col min="5" max="5" width="13.42578125" customWidth="1"/>
  </cols>
  <sheetData>
    <row r="1" spans="1:11" ht="15.75" customHeight="1">
      <c r="A1" s="99"/>
      <c r="B1" s="43" t="s">
        <v>0</v>
      </c>
      <c r="C1" s="99"/>
      <c r="D1" s="99"/>
      <c r="E1" s="99"/>
      <c r="F1" s="99"/>
      <c r="G1" s="99"/>
      <c r="H1" s="99"/>
      <c r="I1" s="99"/>
      <c r="J1" s="99"/>
      <c r="K1" s="99"/>
    </row>
    <row r="2" spans="1:1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 ht="24" customHeight="1">
      <c r="A3" s="99"/>
      <c r="B3" s="48" t="s">
        <v>1</v>
      </c>
      <c r="C3" s="84">
        <f>DRE_FCL!E18+NPV(PREMISSAS!$C$101,DRE_FCL!F18:Y18)</f>
        <v>-1040546.1321165226</v>
      </c>
      <c r="D3" s="48" t="s">
        <v>2</v>
      </c>
      <c r="E3" s="85">
        <f>IFERROR(IRR(DRE_FCL!E18:Y18),"N/D")</f>
        <v>6.9459470237069887E-2</v>
      </c>
      <c r="F3" s="99"/>
      <c r="G3" s="99"/>
      <c r="H3" s="99"/>
      <c r="I3" s="99"/>
      <c r="J3" s="86" t="s">
        <v>3</v>
      </c>
      <c r="K3" s="86" t="s">
        <v>4</v>
      </c>
    </row>
    <row r="4" spans="1:11">
      <c r="A4" s="99"/>
      <c r="F4" s="99"/>
      <c r="G4" s="99"/>
      <c r="H4" s="99"/>
      <c r="I4" s="99"/>
      <c r="J4" s="88" t="str">
        <f>DRE_FCL!E3</f>
        <v>2026</v>
      </c>
      <c r="K4" s="89">
        <f>DRE_FCL!E18/((1+PREMISSAS!$C$101)^0)</f>
        <v>-5498000</v>
      </c>
    </row>
    <row r="5" spans="1:11">
      <c r="A5" s="99"/>
      <c r="B5" s="48" t="s">
        <v>5</v>
      </c>
      <c r="C5" s="102">
        <f>IFERROR(MATCH(TRUE,INDEX(DRE_FCL!F19:Y19&gt;=0,0),0),"&gt;Horizonte")</f>
        <v>11</v>
      </c>
      <c r="D5" s="48" t="s">
        <v>6</v>
      </c>
      <c r="E5" s="84">
        <f>CAPEX!$C$16</f>
        <v>5498000</v>
      </c>
      <c r="F5" s="99"/>
      <c r="G5" s="99"/>
      <c r="H5" s="99"/>
      <c r="I5" s="99"/>
      <c r="J5" s="88" t="str">
        <f>DRE_FCL!F3</f>
        <v>2027</v>
      </c>
      <c r="K5" s="89">
        <f>K4+DRE_FCL!F18/((1+PREMISSAS!$C$101)^1)</f>
        <v>-4953165.1700716233</v>
      </c>
    </row>
    <row r="6" spans="1:11">
      <c r="A6" s="99"/>
      <c r="B6" s="87" t="s">
        <v>7</v>
      </c>
      <c r="C6" s="103" t="str">
        <f>IFERROR(_xlfn.AGGREGATE(15,6,J4:J24/(K4:K24&gt;=0),1)-PREMISSAS!$C$103,"&gt;Horizonte")</f>
        <v>&gt;Horizonte</v>
      </c>
      <c r="D6" s="99"/>
      <c r="E6" s="99"/>
      <c r="F6" s="99"/>
      <c r="G6" s="99"/>
      <c r="H6" s="99"/>
      <c r="I6" s="99"/>
      <c r="J6" s="88" t="str">
        <f>DRE_FCL!G3</f>
        <v>2028</v>
      </c>
      <c r="K6" s="89">
        <f>K5+DRE_FCL!G18/((1+PREMISSAS!$C$101)^2)</f>
        <v>-4469915.3246821901</v>
      </c>
    </row>
    <row r="7" spans="1:11">
      <c r="A7" s="99"/>
      <c r="B7" s="48" t="s">
        <v>8</v>
      </c>
      <c r="C7" s="84">
        <f>IFERROR(AVERAGE(DRE_FCL!F5:Y5),0)</f>
        <v>2897370.480066048</v>
      </c>
      <c r="D7" s="48" t="s">
        <v>9</v>
      </c>
      <c r="E7" s="84">
        <f>IFERROR(AVERAGE(DRE_FCL!F8:Y8),0)</f>
        <v>1013659.9732232172</v>
      </c>
      <c r="F7" s="99"/>
      <c r="G7" s="99"/>
      <c r="H7" s="99"/>
      <c r="I7" s="99"/>
      <c r="J7" s="88" t="str">
        <f>DRE_FCL!H3</f>
        <v>2029</v>
      </c>
      <c r="K7" s="89">
        <f>K6+DRE_FCL!H18/((1+PREMISSAS!$C$101)^3)</f>
        <v>-4041555.9611050193</v>
      </c>
    </row>
    <row r="8" spans="1:11">
      <c r="A8" s="99"/>
      <c r="B8" s="99"/>
      <c r="C8" s="99"/>
      <c r="D8" s="99"/>
      <c r="E8" s="99"/>
      <c r="F8" s="99"/>
      <c r="G8" s="99"/>
      <c r="H8" s="99"/>
      <c r="I8" s="99"/>
      <c r="J8" s="88" t="str">
        <f>DRE_FCL!I3</f>
        <v>2030</v>
      </c>
      <c r="K8" s="89">
        <f>K7+DRE_FCL!I18/((1+PREMISSAS!$C$101)^4)</f>
        <v>-3662100.792113001</v>
      </c>
    </row>
    <row r="9" spans="1:11">
      <c r="A9" s="99"/>
      <c r="B9" s="48" t="s">
        <v>10</v>
      </c>
      <c r="C9" s="85">
        <f>IFERROR(E7/C7,0)</f>
        <v>0.34985514631187586</v>
      </c>
      <c r="D9" s="48" t="s">
        <v>11</v>
      </c>
      <c r="E9" s="84">
        <f>SUM(DRE_FCL!E18:Y18)</f>
        <v>4519256.2584242858</v>
      </c>
      <c r="F9" s="99"/>
      <c r="G9" s="99"/>
      <c r="H9" s="99"/>
      <c r="I9" s="99"/>
      <c r="J9" s="88" t="str">
        <f>DRE_FCL!J3</f>
        <v>2031</v>
      </c>
      <c r="K9" s="89">
        <f>K8+DRE_FCL!J18/((1+PREMISSAS!$C$101)^5)</f>
        <v>-3326198.3059929432</v>
      </c>
    </row>
    <row r="10" spans="1:11">
      <c r="A10" s="99"/>
      <c r="B10" s="99"/>
      <c r="C10" s="99"/>
      <c r="D10" s="99"/>
      <c r="E10" s="99"/>
      <c r="F10" s="99"/>
      <c r="G10" s="99"/>
      <c r="H10" s="99"/>
      <c r="I10" s="99"/>
      <c r="J10" s="88" t="str">
        <f>DRE_FCL!K3</f>
        <v>2032</v>
      </c>
      <c r="K10" s="89">
        <f>K9+DRE_FCL!K18/((1+PREMISSAS!$C$101)^6)</f>
        <v>-3029065.8262639279</v>
      </c>
    </row>
    <row r="11" spans="1:11" ht="25.5" customHeight="1">
      <c r="A11" s="99"/>
      <c r="B11" s="90" t="s">
        <v>12</v>
      </c>
      <c r="C11" s="99"/>
      <c r="D11" s="99"/>
      <c r="E11" s="99"/>
      <c r="F11" s="99"/>
      <c r="G11" s="99"/>
      <c r="H11" s="99"/>
      <c r="I11" s="99"/>
      <c r="J11" s="88" t="str">
        <f>DRE_FCL!L3</f>
        <v>2033</v>
      </c>
      <c r="K11" s="89">
        <f>K10+DRE_FCL!L18/((1+PREMISSAS!$C$101)^7)</f>
        <v>-2766430.3144591544</v>
      </c>
    </row>
    <row r="12" spans="1:11">
      <c r="A12" s="99"/>
      <c r="B12" s="48" t="s">
        <v>13</v>
      </c>
      <c r="C12" s="100">
        <f>CÁLCULO!F4</f>
        <v>3940.8425279999997</v>
      </c>
      <c r="D12" s="50" t="s">
        <v>14</v>
      </c>
      <c r="E12" s="99"/>
      <c r="F12" s="99"/>
      <c r="G12" s="99"/>
      <c r="H12" s="99"/>
      <c r="I12" s="99"/>
      <c r="J12" s="88" t="str">
        <f>DRE_FCL!M3</f>
        <v>2034</v>
      </c>
      <c r="K12" s="89">
        <f>K11+DRE_FCL!M18/((1+PREMISSAS!$C$101)^8)</f>
        <v>-2534475.2349207359</v>
      </c>
    </row>
    <row r="13" spans="1:11">
      <c r="A13" s="99"/>
      <c r="B13" s="48" t="s">
        <v>15</v>
      </c>
      <c r="C13" s="100">
        <f>CÁLCULO!F5</f>
        <v>1182.2527583999999</v>
      </c>
      <c r="D13" s="50" t="s">
        <v>14</v>
      </c>
      <c r="E13" s="99"/>
      <c r="F13" s="99"/>
      <c r="G13" s="99"/>
      <c r="H13" s="99"/>
      <c r="I13" s="99"/>
      <c r="J13" s="88" t="str">
        <f>DRE_FCL!N3</f>
        <v>2035</v>
      </c>
      <c r="K13" s="89">
        <f>K12+DRE_FCL!N18/((1+PREMISSAS!$C$101)^9)</f>
        <v>-2329792.8686564821</v>
      </c>
    </row>
    <row r="14" spans="1:11">
      <c r="A14" s="99"/>
      <c r="B14" s="48" t="s">
        <v>16</v>
      </c>
      <c r="C14" s="100">
        <f>CÁLCULO!F8</f>
        <v>3215.7275028480003</v>
      </c>
      <c r="D14" s="50" t="s">
        <v>17</v>
      </c>
      <c r="E14" s="99"/>
      <c r="F14" s="99"/>
      <c r="G14" s="99"/>
      <c r="H14" s="99"/>
      <c r="I14" s="99"/>
      <c r="J14" s="88" t="str">
        <f>DRE_FCL!O3</f>
        <v>2036</v>
      </c>
      <c r="K14" s="89">
        <f>K13+DRE_FCL!O18/((1+PREMISSAS!$C$101)^10)</f>
        <v>-2149341.5246540522</v>
      </c>
    </row>
    <row r="15" spans="1:11">
      <c r="A15" s="99"/>
      <c r="B15" s="48" t="s">
        <v>18</v>
      </c>
      <c r="C15" s="100">
        <f>CÁLCULO!F9</f>
        <v>164.20177199999998</v>
      </c>
      <c r="D15" s="50" t="s">
        <v>19</v>
      </c>
      <c r="E15" s="99"/>
      <c r="F15" s="99"/>
      <c r="G15" s="99"/>
      <c r="H15" s="99"/>
      <c r="I15" s="99"/>
      <c r="J15" s="88" t="str">
        <f>DRE_FCL!P3</f>
        <v>2037</v>
      </c>
      <c r="K15" s="89">
        <f>K14+DRE_FCL!P18/((1+PREMISSAS!$C$101)^11)</f>
        <v>-1985294.8482882068</v>
      </c>
    </row>
    <row r="16" spans="1:11">
      <c r="A16" s="99"/>
      <c r="B16" s="48" t="s">
        <v>20</v>
      </c>
      <c r="C16" s="100">
        <f>CÁLCULO!F10</f>
        <v>6.5680708799999987</v>
      </c>
      <c r="D16" s="50" t="s">
        <v>21</v>
      </c>
      <c r="E16" s="99"/>
      <c r="F16" s="99"/>
      <c r="G16" s="99"/>
      <c r="H16" s="99"/>
      <c r="I16" s="99"/>
      <c r="J16" s="88" t="str">
        <f>DRE_FCL!Q3</f>
        <v>2038</v>
      </c>
      <c r="K16" s="89">
        <f>K15+DRE_FCL!Q18/((1+PREMISSAS!$C$101)^12)</f>
        <v>-1836161.5061374384</v>
      </c>
    </row>
    <row r="17" spans="1:11">
      <c r="A17" s="99"/>
      <c r="B17" s="48" t="s">
        <v>22</v>
      </c>
      <c r="C17" s="91">
        <f>RECEITA!F3</f>
        <v>2897370.4800660484</v>
      </c>
      <c r="D17" s="50" t="s">
        <v>23</v>
      </c>
      <c r="E17" s="99"/>
      <c r="F17" s="99"/>
      <c r="G17" s="99"/>
      <c r="H17" s="99"/>
      <c r="I17" s="99"/>
      <c r="J17" s="88" t="str">
        <f>DRE_FCL!R3</f>
        <v>2039</v>
      </c>
      <c r="K17" s="89">
        <f>K16+DRE_FCL!R18/((1+PREMISSAS!$C$101)^13)</f>
        <v>-1700585.7405458307</v>
      </c>
    </row>
    <row r="18" spans="1:11">
      <c r="A18" s="99"/>
      <c r="B18" s="48" t="s">
        <v>24</v>
      </c>
      <c r="C18" s="91">
        <f>OPEX!F22</f>
        <v>1734535.5068428307</v>
      </c>
      <c r="D18" s="50" t="s">
        <v>23</v>
      </c>
      <c r="E18" s="99"/>
      <c r="F18" s="99"/>
      <c r="G18" s="99"/>
      <c r="H18" s="99"/>
      <c r="I18" s="99"/>
      <c r="J18" s="88" t="str">
        <f>DRE_FCL!S3</f>
        <v>2040</v>
      </c>
      <c r="K18" s="89">
        <f>K17+DRE_FCL!S18/((1+PREMISSAS!$C$101)^14)</f>
        <v>-1577335.0445534601</v>
      </c>
    </row>
    <row r="19" spans="1:11">
      <c r="A19" s="99"/>
      <c r="B19" s="48" t="s">
        <v>25</v>
      </c>
      <c r="C19" s="91">
        <f>DRE_FCL!F8</f>
        <v>1162834.9732232178</v>
      </c>
      <c r="D19" s="50" t="s">
        <v>23</v>
      </c>
      <c r="E19" s="99"/>
      <c r="F19" s="99"/>
      <c r="G19" s="99"/>
      <c r="H19" s="99"/>
      <c r="I19" s="99"/>
      <c r="J19" s="88" t="str">
        <f>DRE_FCL!T3</f>
        <v>2041</v>
      </c>
      <c r="K19" s="89">
        <f>K18+DRE_FCL!T18/((1+PREMISSAS!$C$101)^15)</f>
        <v>-1465288.9572876687</v>
      </c>
    </row>
    <row r="20" spans="1:11">
      <c r="A20" s="99"/>
      <c r="B20" s="48" t="s">
        <v>26</v>
      </c>
      <c r="C20" s="91">
        <f>DRE_FCL!F18</f>
        <v>599318.31292121427</v>
      </c>
      <c r="D20" s="50" t="s">
        <v>23</v>
      </c>
      <c r="E20" s="99"/>
      <c r="F20" s="99"/>
      <c r="G20" s="99"/>
      <c r="H20" s="99"/>
      <c r="I20" s="99"/>
      <c r="J20" s="88" t="str">
        <f>DRE_FCL!U3</f>
        <v>2042</v>
      </c>
      <c r="K20" s="89">
        <f>K19+DRE_FCL!U18/((1+PREMISSAS!$C$101)^16)</f>
        <v>-1363428.877955131</v>
      </c>
    </row>
    <row r="21" spans="1:11">
      <c r="A21" s="99"/>
      <c r="B21" s="48" t="s">
        <v>27</v>
      </c>
      <c r="C21" s="100">
        <f>PREMISSAS!$C$48</f>
        <v>207.375</v>
      </c>
      <c r="D21" s="50" t="s">
        <v>28</v>
      </c>
      <c r="E21" s="99"/>
      <c r="F21" s="99"/>
      <c r="G21" s="99"/>
      <c r="H21" s="99"/>
      <c r="I21" s="99"/>
      <c r="J21" s="88" t="str">
        <f>DRE_FCL!V3</f>
        <v>2043</v>
      </c>
      <c r="K21" s="89">
        <f>K20+DRE_FCL!V18/((1+PREMISSAS!$C$101)^17)</f>
        <v>-1270828.8058346421</v>
      </c>
    </row>
    <row r="22" spans="1:11">
      <c r="A22" s="99"/>
      <c r="B22" s="48" t="s">
        <v>29</v>
      </c>
      <c r="C22" s="100" t="str">
        <f>PREMISSAS!$C$47</f>
        <v>Cemig A4 Verde 360 kW</v>
      </c>
      <c r="D22" s="50" t="s">
        <v>30</v>
      </c>
      <c r="E22" s="99"/>
      <c r="F22" s="99"/>
      <c r="G22" s="99"/>
      <c r="H22" s="99"/>
      <c r="I22" s="99"/>
      <c r="J22" s="88" t="str">
        <f>DRE_FCL!W3</f>
        <v>2044</v>
      </c>
      <c r="K22" s="89">
        <f>K21+DRE_FCL!W18/((1+PREMISSAS!$C$101)^18)</f>
        <v>-1186646.9220887432</v>
      </c>
    </row>
    <row r="23" spans="1:11">
      <c r="A23" s="99"/>
      <c r="B23" s="99"/>
      <c r="C23" s="99"/>
      <c r="D23" s="99"/>
      <c r="E23" s="99"/>
      <c r="F23" s="99"/>
      <c r="G23" s="99"/>
      <c r="H23" s="99"/>
      <c r="I23" s="99"/>
      <c r="J23" s="88" t="str">
        <f>DRE_FCL!X3</f>
        <v>2045</v>
      </c>
      <c r="K23" s="89">
        <f>K22+DRE_FCL!X18/((1+PREMISSAS!$C$101)^19)</f>
        <v>-1110117.9368651987</v>
      </c>
    </row>
    <row r="24" spans="1:11">
      <c r="A24" s="99"/>
      <c r="B24" s="99"/>
      <c r="C24" s="99"/>
      <c r="D24" s="99"/>
      <c r="E24" s="99"/>
      <c r="F24" s="99"/>
      <c r="G24" s="99"/>
      <c r="H24" s="99"/>
      <c r="I24" s="99"/>
      <c r="J24" s="88" t="str">
        <f>DRE_FCL!Y3</f>
        <v>2046</v>
      </c>
      <c r="K24" s="89">
        <f>K23+DRE_FCL!Y18/((1+PREMISSAS!$C$101)^20)</f>
        <v>-1040546.1321165218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71"/>
  <sheetViews>
    <sheetView workbookViewId="0">
      <selection activeCell="A71" sqref="A71:XFD79"/>
    </sheetView>
  </sheetViews>
  <sheetFormatPr defaultRowHeight="15"/>
  <cols>
    <col min="1" max="1" width="2.85546875" customWidth="1"/>
    <col min="2" max="2" width="43.85546875" customWidth="1"/>
    <col min="3" max="3" width="30.42578125" customWidth="1"/>
    <col min="4" max="4" width="91.42578125" customWidth="1"/>
    <col min="5" max="5" width="72.42578125" customWidth="1"/>
  </cols>
  <sheetData>
    <row r="2" spans="2:5" ht="18.75" customHeight="1">
      <c r="B2" s="173" t="s">
        <v>90</v>
      </c>
      <c r="C2" s="172"/>
      <c r="D2" s="172"/>
      <c r="E2" s="172"/>
    </row>
    <row r="3" spans="2:5">
      <c r="B3" s="171" t="s">
        <v>91</v>
      </c>
      <c r="C3" s="172"/>
      <c r="D3" s="172"/>
      <c r="E3" s="172"/>
    </row>
    <row r="5" spans="2:5">
      <c r="B5" s="125" t="s">
        <v>92</v>
      </c>
      <c r="C5" s="125" t="s">
        <v>93</v>
      </c>
      <c r="D5" s="125" t="s">
        <v>94</v>
      </c>
      <c r="E5" s="125" t="s">
        <v>95</v>
      </c>
    </row>
    <row r="6" spans="2:5">
      <c r="B6" s="126" t="s">
        <v>96</v>
      </c>
      <c r="C6" s="127"/>
      <c r="D6" s="127"/>
      <c r="E6" s="127"/>
    </row>
    <row r="7" spans="2:5" ht="30" customHeight="1">
      <c r="B7" s="127" t="s">
        <v>97</v>
      </c>
      <c r="C7" s="127" t="s">
        <v>98</v>
      </c>
      <c r="D7" s="127" t="s">
        <v>99</v>
      </c>
      <c r="E7" s="127"/>
    </row>
    <row r="8" spans="2:5">
      <c r="B8" s="127" t="s">
        <v>100</v>
      </c>
      <c r="C8" s="127" t="s">
        <v>101</v>
      </c>
      <c r="D8" s="127" t="s">
        <v>102</v>
      </c>
      <c r="E8" s="127"/>
    </row>
    <row r="9" spans="2:5" ht="45" customHeight="1">
      <c r="B9" s="127" t="s">
        <v>103</v>
      </c>
      <c r="C9" s="127" t="s">
        <v>104</v>
      </c>
      <c r="D9" s="127" t="s">
        <v>105</v>
      </c>
      <c r="E9" s="127" t="s">
        <v>106</v>
      </c>
    </row>
    <row r="10" spans="2:5" ht="30" customHeight="1">
      <c r="B10" s="127" t="s">
        <v>107</v>
      </c>
      <c r="C10" s="127" t="s">
        <v>108</v>
      </c>
      <c r="D10" s="127" t="s">
        <v>109</v>
      </c>
      <c r="E10" s="127"/>
    </row>
    <row r="11" spans="2:5">
      <c r="B11" s="127" t="s">
        <v>110</v>
      </c>
      <c r="C11" s="127" t="s">
        <v>111</v>
      </c>
      <c r="D11" s="127" t="s">
        <v>112</v>
      </c>
      <c r="E11" s="127"/>
    </row>
    <row r="12" spans="2:5">
      <c r="B12" s="127" t="s">
        <v>113</v>
      </c>
      <c r="C12" s="127" t="s">
        <v>114</v>
      </c>
      <c r="D12" s="127" t="s">
        <v>115</v>
      </c>
      <c r="E12" s="127" t="s">
        <v>116</v>
      </c>
    </row>
    <row r="13" spans="2:5">
      <c r="B13" s="127" t="s">
        <v>117</v>
      </c>
      <c r="C13" s="127" t="s">
        <v>118</v>
      </c>
      <c r="D13" s="127" t="s">
        <v>119</v>
      </c>
      <c r="E13" s="127"/>
    </row>
    <row r="14" spans="2:5">
      <c r="B14" s="127" t="s">
        <v>120</v>
      </c>
      <c r="C14" s="127" t="s">
        <v>111</v>
      </c>
      <c r="D14" s="127" t="s">
        <v>121</v>
      </c>
      <c r="E14" s="127"/>
    </row>
    <row r="15" spans="2:5" ht="30" customHeight="1">
      <c r="B15" s="127" t="s">
        <v>122</v>
      </c>
      <c r="C15" s="127" t="s">
        <v>123</v>
      </c>
      <c r="D15" s="127" t="s">
        <v>124</v>
      </c>
      <c r="E15" s="127" t="s">
        <v>125</v>
      </c>
    </row>
    <row r="16" spans="2:5">
      <c r="B16" s="127"/>
      <c r="C16" s="127"/>
      <c r="D16" s="127"/>
      <c r="E16" s="127"/>
    </row>
    <row r="17" spans="2:5">
      <c r="B17" s="126" t="s">
        <v>126</v>
      </c>
      <c r="C17" s="127"/>
      <c r="D17" s="127"/>
      <c r="E17" s="127"/>
    </row>
    <row r="18" spans="2:5">
      <c r="B18" s="127" t="s">
        <v>127</v>
      </c>
      <c r="C18" s="127" t="s">
        <v>128</v>
      </c>
      <c r="D18" s="127" t="s">
        <v>129</v>
      </c>
      <c r="E18" s="127"/>
    </row>
    <row r="19" spans="2:5" ht="30" customHeight="1">
      <c r="B19" s="127" t="s">
        <v>130</v>
      </c>
      <c r="C19" s="127" t="s">
        <v>131</v>
      </c>
      <c r="D19" s="127" t="s">
        <v>132</v>
      </c>
      <c r="E19" s="127" t="s">
        <v>133</v>
      </c>
    </row>
    <row r="20" spans="2:5" ht="30" customHeight="1">
      <c r="B20" s="127" t="s">
        <v>134</v>
      </c>
      <c r="C20" s="127"/>
      <c r="D20" s="127" t="s">
        <v>135</v>
      </c>
      <c r="E20" s="127" t="s">
        <v>136</v>
      </c>
    </row>
    <row r="21" spans="2:5">
      <c r="B21" s="127" t="s">
        <v>137</v>
      </c>
      <c r="C21" s="127" t="s">
        <v>138</v>
      </c>
      <c r="D21" s="127" t="s">
        <v>139</v>
      </c>
      <c r="E21" s="127"/>
    </row>
    <row r="22" spans="2:5">
      <c r="B22" s="127" t="s">
        <v>140</v>
      </c>
      <c r="C22" s="127" t="s">
        <v>138</v>
      </c>
      <c r="D22" s="127" t="s">
        <v>141</v>
      </c>
      <c r="E22" s="127"/>
    </row>
    <row r="23" spans="2:5">
      <c r="B23" s="127" t="s">
        <v>142</v>
      </c>
      <c r="C23" s="127" t="s">
        <v>143</v>
      </c>
      <c r="D23" s="127" t="s">
        <v>144</v>
      </c>
      <c r="E23" s="127" t="s">
        <v>145</v>
      </c>
    </row>
    <row r="24" spans="2:5" ht="30" customHeight="1">
      <c r="B24" s="127" t="s">
        <v>146</v>
      </c>
      <c r="C24" s="127" t="s">
        <v>147</v>
      </c>
      <c r="D24" s="127" t="s">
        <v>148</v>
      </c>
      <c r="E24" s="127"/>
    </row>
    <row r="25" spans="2:5" ht="30" customHeight="1">
      <c r="B25" s="127" t="s">
        <v>149</v>
      </c>
      <c r="C25" s="127" t="s">
        <v>150</v>
      </c>
      <c r="D25" s="127" t="s">
        <v>151</v>
      </c>
      <c r="E25" s="127" t="s">
        <v>152</v>
      </c>
    </row>
    <row r="26" spans="2:5" ht="30" customHeight="1">
      <c r="B26" s="127" t="s">
        <v>153</v>
      </c>
      <c r="C26" s="127" t="s">
        <v>154</v>
      </c>
      <c r="D26" s="127" t="s">
        <v>155</v>
      </c>
      <c r="E26" s="127" t="s">
        <v>156</v>
      </c>
    </row>
    <row r="27" spans="2:5">
      <c r="B27" s="127"/>
      <c r="C27" s="127"/>
      <c r="D27" s="127"/>
      <c r="E27" s="127"/>
    </row>
    <row r="28" spans="2:5">
      <c r="B28" s="126" t="s">
        <v>157</v>
      </c>
      <c r="C28" s="127"/>
      <c r="D28" s="127"/>
      <c r="E28" s="127"/>
    </row>
    <row r="29" spans="2:5" ht="30" customHeight="1">
      <c r="B29" s="127" t="s">
        <v>158</v>
      </c>
      <c r="C29" s="127" t="s">
        <v>159</v>
      </c>
      <c r="D29" s="127" t="s">
        <v>160</v>
      </c>
      <c r="E29" s="127" t="s">
        <v>161</v>
      </c>
    </row>
    <row r="30" spans="2:5" ht="30" customHeight="1">
      <c r="B30" s="127" t="s">
        <v>162</v>
      </c>
      <c r="C30" s="127" t="s">
        <v>163</v>
      </c>
      <c r="D30" s="127" t="s">
        <v>164</v>
      </c>
      <c r="E30" s="127" t="s">
        <v>165</v>
      </c>
    </row>
    <row r="31" spans="2:5">
      <c r="B31" s="127" t="s">
        <v>166</v>
      </c>
      <c r="C31" s="127" t="s">
        <v>163</v>
      </c>
      <c r="D31" s="127" t="s">
        <v>167</v>
      </c>
      <c r="E31" s="127"/>
    </row>
    <row r="32" spans="2:5" ht="30" customHeight="1">
      <c r="B32" s="127" t="s">
        <v>168</v>
      </c>
      <c r="C32" s="127" t="s">
        <v>163</v>
      </c>
      <c r="D32" s="127" t="s">
        <v>169</v>
      </c>
      <c r="E32" s="127"/>
    </row>
    <row r="33" spans="2:5" ht="30" customHeight="1">
      <c r="B33" s="127" t="s">
        <v>170</v>
      </c>
      <c r="C33" s="127" t="s">
        <v>163</v>
      </c>
      <c r="D33" s="127" t="s">
        <v>171</v>
      </c>
      <c r="E33" s="127" t="s">
        <v>172</v>
      </c>
    </row>
    <row r="34" spans="2:5">
      <c r="B34" s="127" t="s">
        <v>173</v>
      </c>
      <c r="C34" s="127" t="s">
        <v>174</v>
      </c>
      <c r="D34" s="127" t="s">
        <v>175</v>
      </c>
      <c r="E34" s="127"/>
    </row>
    <row r="35" spans="2:5" ht="30" customHeight="1">
      <c r="B35" s="127" t="s">
        <v>176</v>
      </c>
      <c r="C35" s="127" t="s">
        <v>177</v>
      </c>
      <c r="D35" s="127" t="s">
        <v>178</v>
      </c>
      <c r="E35" s="127" t="s">
        <v>179</v>
      </c>
    </row>
    <row r="36" spans="2:5">
      <c r="B36" s="127" t="s">
        <v>180</v>
      </c>
      <c r="C36" s="127" t="s">
        <v>163</v>
      </c>
      <c r="D36" s="127" t="s">
        <v>181</v>
      </c>
      <c r="E36" s="127"/>
    </row>
    <row r="37" spans="2:5">
      <c r="B37" s="127" t="s">
        <v>182</v>
      </c>
      <c r="C37" s="127" t="s">
        <v>183</v>
      </c>
      <c r="D37" s="127" t="s">
        <v>184</v>
      </c>
      <c r="E37" s="127"/>
    </row>
    <row r="38" spans="2:5" ht="30" customHeight="1">
      <c r="B38" s="127" t="s">
        <v>185</v>
      </c>
      <c r="C38" s="127" t="s">
        <v>163</v>
      </c>
      <c r="D38" s="127" t="s">
        <v>186</v>
      </c>
      <c r="E38" s="127"/>
    </row>
    <row r="39" spans="2:5" ht="30" customHeight="1">
      <c r="B39" s="127" t="s">
        <v>187</v>
      </c>
      <c r="C39" s="127" t="s">
        <v>188</v>
      </c>
      <c r="D39" s="127" t="s">
        <v>189</v>
      </c>
      <c r="E39" s="127" t="s">
        <v>190</v>
      </c>
    </row>
    <row r="40" spans="2:5">
      <c r="B40" s="127"/>
      <c r="C40" s="127"/>
      <c r="D40" s="127"/>
      <c r="E40" s="127"/>
    </row>
    <row r="41" spans="2:5">
      <c r="B41" s="126" t="s">
        <v>191</v>
      </c>
      <c r="C41" s="127"/>
      <c r="D41" s="127"/>
      <c r="E41" s="127"/>
    </row>
    <row r="42" spans="2:5" ht="45" customHeight="1">
      <c r="B42" s="127" t="s">
        <v>192</v>
      </c>
      <c r="C42" s="127" t="s">
        <v>193</v>
      </c>
      <c r="D42" s="127" t="s">
        <v>194</v>
      </c>
      <c r="E42" s="127" t="s">
        <v>195</v>
      </c>
    </row>
    <row r="43" spans="2:5" ht="30" customHeight="1">
      <c r="B43" s="127" t="s">
        <v>196</v>
      </c>
      <c r="C43" s="127" t="s">
        <v>197</v>
      </c>
      <c r="D43" s="127" t="s">
        <v>198</v>
      </c>
      <c r="E43" s="127" t="s">
        <v>199</v>
      </c>
    </row>
    <row r="44" spans="2:5" ht="30" customHeight="1">
      <c r="B44" s="127" t="s">
        <v>200</v>
      </c>
      <c r="C44" s="127" t="s">
        <v>197</v>
      </c>
      <c r="D44" s="127" t="s">
        <v>201</v>
      </c>
      <c r="E44" s="127"/>
    </row>
    <row r="45" spans="2:5" ht="30" customHeight="1">
      <c r="B45" s="127" t="s">
        <v>202</v>
      </c>
      <c r="C45" s="127" t="s">
        <v>203</v>
      </c>
      <c r="D45" s="127" t="s">
        <v>204</v>
      </c>
      <c r="E45" s="127" t="s">
        <v>205</v>
      </c>
    </row>
    <row r="46" spans="2:5" ht="30" customHeight="1">
      <c r="B46" s="127" t="s">
        <v>206</v>
      </c>
      <c r="C46" s="127" t="s">
        <v>207</v>
      </c>
      <c r="D46" s="127" t="s">
        <v>208</v>
      </c>
      <c r="E46" s="127"/>
    </row>
    <row r="47" spans="2:5">
      <c r="B47" s="127" t="s">
        <v>209</v>
      </c>
      <c r="C47" s="127" t="s">
        <v>203</v>
      </c>
      <c r="D47" s="127" t="s">
        <v>210</v>
      </c>
      <c r="E47" s="127"/>
    </row>
    <row r="48" spans="2:5" ht="30" customHeight="1">
      <c r="B48" s="127" t="s">
        <v>211</v>
      </c>
      <c r="C48" s="127" t="s">
        <v>197</v>
      </c>
      <c r="D48" s="127" t="s">
        <v>212</v>
      </c>
      <c r="E48" s="127"/>
    </row>
    <row r="49" spans="2:5" ht="30" customHeight="1">
      <c r="B49" s="127" t="s">
        <v>213</v>
      </c>
      <c r="C49" s="127" t="s">
        <v>197</v>
      </c>
      <c r="D49" s="127" t="s">
        <v>214</v>
      </c>
      <c r="E49" s="127" t="s">
        <v>215</v>
      </c>
    </row>
    <row r="50" spans="2:5">
      <c r="B50" s="127"/>
      <c r="C50" s="127"/>
      <c r="D50" s="127"/>
      <c r="E50" s="127"/>
    </row>
    <row r="51" spans="2:5">
      <c r="B51" s="126" t="s">
        <v>216</v>
      </c>
      <c r="C51" s="127"/>
      <c r="D51" s="127"/>
      <c r="E51" s="127"/>
    </row>
    <row r="52" spans="2:5" ht="30" customHeight="1">
      <c r="B52" s="127" t="s">
        <v>217</v>
      </c>
      <c r="C52" s="127" t="s">
        <v>68</v>
      </c>
      <c r="D52" s="127" t="s">
        <v>218</v>
      </c>
      <c r="E52" s="127" t="s">
        <v>219</v>
      </c>
    </row>
    <row r="53" spans="2:5" ht="30" customHeight="1">
      <c r="B53" s="127" t="s">
        <v>220</v>
      </c>
      <c r="C53" s="127" t="s">
        <v>68</v>
      </c>
      <c r="D53" s="127" t="s">
        <v>221</v>
      </c>
      <c r="E53" s="127" t="s">
        <v>222</v>
      </c>
    </row>
    <row r="54" spans="2:5">
      <c r="B54" s="127" t="s">
        <v>223</v>
      </c>
      <c r="C54" s="127" t="s">
        <v>68</v>
      </c>
      <c r="D54" s="127" t="s">
        <v>224</v>
      </c>
      <c r="E54" s="127" t="s">
        <v>225</v>
      </c>
    </row>
    <row r="55" spans="2:5" ht="30" customHeight="1">
      <c r="B55" s="127" t="s">
        <v>226</v>
      </c>
      <c r="C55" s="127" t="s">
        <v>227</v>
      </c>
      <c r="D55" s="127" t="s">
        <v>228</v>
      </c>
      <c r="E55" s="127" t="s">
        <v>229</v>
      </c>
    </row>
    <row r="56" spans="2:5">
      <c r="B56" s="127" t="s">
        <v>230</v>
      </c>
      <c r="C56" s="127" t="s">
        <v>66</v>
      </c>
      <c r="D56" s="127" t="s">
        <v>231</v>
      </c>
      <c r="E56" s="127"/>
    </row>
    <row r="57" spans="2:5">
      <c r="B57" s="127" t="s">
        <v>25</v>
      </c>
      <c r="C57" s="127" t="s">
        <v>232</v>
      </c>
      <c r="D57" s="127" t="s">
        <v>233</v>
      </c>
      <c r="E57" s="127"/>
    </row>
    <row r="58" spans="2:5">
      <c r="B58" s="127" t="s">
        <v>234</v>
      </c>
      <c r="C58" s="127" t="s">
        <v>66</v>
      </c>
      <c r="D58" s="127" t="s">
        <v>235</v>
      </c>
      <c r="E58" s="127"/>
    </row>
    <row r="59" spans="2:5">
      <c r="B59" s="127" t="s">
        <v>236</v>
      </c>
      <c r="C59" s="127" t="s">
        <v>66</v>
      </c>
      <c r="D59" s="127" t="s">
        <v>237</v>
      </c>
      <c r="E59" s="127"/>
    </row>
    <row r="60" spans="2:5" ht="30" customHeight="1">
      <c r="B60" s="127" t="s">
        <v>238</v>
      </c>
      <c r="C60" s="127" t="s">
        <v>68</v>
      </c>
      <c r="D60" s="127" t="s">
        <v>239</v>
      </c>
      <c r="E60" s="127" t="s">
        <v>240</v>
      </c>
    </row>
    <row r="61" spans="2:5" ht="30" customHeight="1">
      <c r="B61" s="127" t="s">
        <v>241</v>
      </c>
      <c r="C61" s="127" t="s">
        <v>242</v>
      </c>
      <c r="D61" s="127" t="s">
        <v>243</v>
      </c>
      <c r="E61" s="127" t="s">
        <v>244</v>
      </c>
    </row>
    <row r="62" spans="2:5">
      <c r="B62" s="127" t="s">
        <v>245</v>
      </c>
      <c r="C62" s="127" t="s">
        <v>101</v>
      </c>
      <c r="D62" s="127" t="s">
        <v>246</v>
      </c>
      <c r="E62" s="127"/>
    </row>
    <row r="63" spans="2:5">
      <c r="B63" s="127" t="s">
        <v>247</v>
      </c>
      <c r="C63" s="127" t="s">
        <v>68</v>
      </c>
      <c r="D63" s="127" t="s">
        <v>248</v>
      </c>
      <c r="E63" s="127"/>
    </row>
    <row r="64" spans="2:5">
      <c r="B64" s="127" t="s">
        <v>249</v>
      </c>
      <c r="C64" s="127" t="s">
        <v>250</v>
      </c>
      <c r="D64" s="127" t="s">
        <v>251</v>
      </c>
      <c r="E64" s="127" t="s">
        <v>252</v>
      </c>
    </row>
    <row r="65" spans="2:5" ht="30" customHeight="1">
      <c r="B65" s="127" t="s">
        <v>253</v>
      </c>
      <c r="C65" s="127" t="s">
        <v>56</v>
      </c>
      <c r="D65" s="127" t="s">
        <v>254</v>
      </c>
      <c r="E65" s="127" t="s">
        <v>255</v>
      </c>
    </row>
    <row r="66" spans="2:5">
      <c r="B66" s="127" t="s">
        <v>256</v>
      </c>
      <c r="C66" s="127" t="s">
        <v>257</v>
      </c>
      <c r="D66" s="127" t="s">
        <v>258</v>
      </c>
      <c r="E66" s="127" t="s">
        <v>259</v>
      </c>
    </row>
    <row r="67" spans="2:5">
      <c r="B67" s="127" t="s">
        <v>260</v>
      </c>
      <c r="C67" s="127" t="s">
        <v>261</v>
      </c>
      <c r="D67" s="127" t="s">
        <v>262</v>
      </c>
      <c r="E67" s="127" t="s">
        <v>263</v>
      </c>
    </row>
    <row r="68" spans="2:5">
      <c r="B68" s="127" t="s">
        <v>264</v>
      </c>
      <c r="C68" s="127" t="s">
        <v>265</v>
      </c>
      <c r="D68" s="127" t="s">
        <v>266</v>
      </c>
      <c r="E68" s="127" t="s">
        <v>267</v>
      </c>
    </row>
    <row r="69" spans="2:5" ht="30" customHeight="1">
      <c r="B69" s="127" t="s">
        <v>268</v>
      </c>
      <c r="C69" s="127" t="s">
        <v>269</v>
      </c>
      <c r="D69" s="127" t="s">
        <v>270</v>
      </c>
      <c r="E69" s="127"/>
    </row>
    <row r="70" spans="2:5">
      <c r="B70" s="127"/>
      <c r="C70" s="127"/>
      <c r="D70" s="127"/>
      <c r="E70" s="127"/>
    </row>
    <row r="71" spans="2:5">
      <c r="B71" s="124"/>
      <c r="C71" s="124"/>
      <c r="D71" s="124"/>
      <c r="E71" s="124"/>
    </row>
  </sheetData>
  <mergeCells count="2">
    <mergeCell ref="B3:E3"/>
    <mergeCell ref="B2:E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E126"/>
  <sheetViews>
    <sheetView tabSelected="1" zoomScale="115" zoomScaleNormal="115" workbookViewId="0">
      <selection activeCell="G12" sqref="G12"/>
    </sheetView>
  </sheetViews>
  <sheetFormatPr defaultColWidth="8.7109375" defaultRowHeight="15"/>
  <cols>
    <col min="1" max="1" width="3" customWidth="1"/>
    <col min="2" max="2" width="57.85546875" customWidth="1"/>
    <col min="3" max="3" width="16" customWidth="1"/>
    <col min="4" max="4" width="16" bestFit="1" customWidth="1"/>
    <col min="5" max="5" width="65" customWidth="1"/>
    <col min="6" max="6" width="16" customWidth="1"/>
  </cols>
  <sheetData>
    <row r="1" spans="1:5" ht="15.75" customHeight="1">
      <c r="A1" s="99"/>
      <c r="B1" s="43" t="s">
        <v>271</v>
      </c>
      <c r="C1" s="99"/>
      <c r="D1" s="99"/>
      <c r="E1" s="99"/>
    </row>
    <row r="2" spans="1:5" ht="22.5" customHeight="1">
      <c r="A2" s="99"/>
      <c r="B2" s="44" t="s">
        <v>272</v>
      </c>
      <c r="C2" s="99"/>
      <c r="D2" s="99"/>
      <c r="E2" s="99"/>
    </row>
    <row r="3" spans="1:5">
      <c r="A3" s="99"/>
      <c r="B3" s="45" t="s">
        <v>273</v>
      </c>
      <c r="C3" s="45" t="s">
        <v>274</v>
      </c>
      <c r="D3" s="45" t="s">
        <v>275</v>
      </c>
      <c r="E3" s="45" t="s">
        <v>276</v>
      </c>
    </row>
    <row r="4" spans="1:5" ht="25.5" customHeight="1">
      <c r="A4" s="99"/>
      <c r="B4" s="46" t="s">
        <v>277</v>
      </c>
      <c r="C4" s="47"/>
      <c r="D4" s="47"/>
      <c r="E4" s="47"/>
    </row>
    <row r="5" spans="1:5">
      <c r="A5" s="99"/>
      <c r="B5" s="48" t="s">
        <v>278</v>
      </c>
      <c r="C5" s="135">
        <v>182690</v>
      </c>
      <c r="D5" s="50" t="s">
        <v>279</v>
      </c>
      <c r="E5" s="44" t="s">
        <v>280</v>
      </c>
    </row>
    <row r="6" spans="1:5">
      <c r="A6" s="99"/>
      <c r="B6" s="48" t="s">
        <v>110</v>
      </c>
      <c r="C6" s="189">
        <v>0.48</v>
      </c>
      <c r="D6" s="50" t="s">
        <v>281</v>
      </c>
      <c r="E6" s="44" t="s">
        <v>282</v>
      </c>
    </row>
    <row r="7" spans="1:5">
      <c r="A7" s="99"/>
      <c r="B7" s="48" t="s">
        <v>283</v>
      </c>
      <c r="C7" s="137">
        <v>0.06</v>
      </c>
      <c r="D7" s="50" t="s">
        <v>284</v>
      </c>
      <c r="E7" s="44" t="s">
        <v>285</v>
      </c>
    </row>
    <row r="8" spans="1:5">
      <c r="A8" s="99"/>
      <c r="B8" s="48" t="s">
        <v>286</v>
      </c>
      <c r="C8" s="136">
        <v>0.749</v>
      </c>
      <c r="D8" s="50" t="s">
        <v>284</v>
      </c>
      <c r="E8" s="44" t="s">
        <v>287</v>
      </c>
    </row>
    <row r="9" spans="1:5">
      <c r="A9" s="99"/>
      <c r="B9" s="52" t="s">
        <v>288</v>
      </c>
      <c r="C9" s="138">
        <f>C5*C6</f>
        <v>87691.199999999997</v>
      </c>
      <c r="D9" s="50" t="s">
        <v>14</v>
      </c>
      <c r="E9" s="44" t="s">
        <v>289</v>
      </c>
    </row>
    <row r="10" spans="1:5">
      <c r="A10" s="99"/>
      <c r="B10" s="52" t="s">
        <v>290</v>
      </c>
      <c r="C10" s="138">
        <f>C9*C7</f>
        <v>5261.4719999999998</v>
      </c>
      <c r="D10" s="50" t="s">
        <v>14</v>
      </c>
      <c r="E10" s="44" t="s">
        <v>291</v>
      </c>
    </row>
    <row r="11" spans="1:5">
      <c r="A11" s="99"/>
      <c r="B11" s="52" t="s">
        <v>292</v>
      </c>
      <c r="C11" s="138">
        <f>C10*C8</f>
        <v>3940.8425279999997</v>
      </c>
      <c r="D11" s="50" t="s">
        <v>14</v>
      </c>
      <c r="E11" s="44" t="s">
        <v>293</v>
      </c>
    </row>
    <row r="12" spans="1:5">
      <c r="A12" s="99"/>
      <c r="B12" s="52" t="s">
        <v>294</v>
      </c>
      <c r="C12" s="138">
        <f>C11</f>
        <v>3940.8425279999997</v>
      </c>
      <c r="D12" s="50" t="s">
        <v>14</v>
      </c>
      <c r="E12" s="44" t="s">
        <v>295</v>
      </c>
    </row>
    <row r="13" spans="1:5">
      <c r="A13" s="99"/>
      <c r="B13" s="52" t="s">
        <v>296</v>
      </c>
      <c r="C13" s="138">
        <f>C12</f>
        <v>3940.8425279999997</v>
      </c>
      <c r="D13" s="50" t="s">
        <v>14</v>
      </c>
      <c r="E13" s="44" t="s">
        <v>297</v>
      </c>
    </row>
    <row r="14" spans="1:5">
      <c r="A14" s="99"/>
      <c r="B14" s="99"/>
      <c r="C14" s="99"/>
      <c r="D14" s="99"/>
      <c r="E14" s="99"/>
    </row>
    <row r="15" spans="1:5">
      <c r="A15" s="99"/>
      <c r="B15" s="46" t="s">
        <v>298</v>
      </c>
      <c r="C15" s="47"/>
      <c r="D15" s="47"/>
      <c r="E15" s="47"/>
    </row>
    <row r="16" spans="1:5">
      <c r="A16" s="99"/>
      <c r="B16" s="48" t="s">
        <v>299</v>
      </c>
      <c r="C16" s="135">
        <v>10</v>
      </c>
      <c r="D16" s="50" t="s">
        <v>19</v>
      </c>
      <c r="E16" s="44" t="s">
        <v>300</v>
      </c>
    </row>
    <row r="17" spans="1:5">
      <c r="A17" s="99"/>
      <c r="B17" s="48" t="s">
        <v>301</v>
      </c>
      <c r="C17" s="135">
        <v>2</v>
      </c>
      <c r="D17" s="50" t="s">
        <v>19</v>
      </c>
      <c r="E17" s="44" t="s">
        <v>302</v>
      </c>
    </row>
    <row r="18" spans="1:5">
      <c r="A18" s="99"/>
      <c r="B18" s="52" t="s">
        <v>303</v>
      </c>
      <c r="C18" s="139">
        <f>C16/(C16+C17)</f>
        <v>0.83333333333333337</v>
      </c>
      <c r="D18" s="99"/>
      <c r="E18" s="99"/>
    </row>
    <row r="19" spans="1:5">
      <c r="A19" s="99"/>
      <c r="B19" s="48" t="s">
        <v>304</v>
      </c>
      <c r="C19" s="135">
        <v>1</v>
      </c>
      <c r="D19" s="50" t="s">
        <v>305</v>
      </c>
      <c r="E19" s="44" t="s">
        <v>306</v>
      </c>
    </row>
    <row r="20" spans="1:5">
      <c r="A20" s="99"/>
      <c r="B20" s="48" t="s">
        <v>307</v>
      </c>
      <c r="C20" s="135">
        <v>24</v>
      </c>
      <c r="D20" s="50" t="s">
        <v>308</v>
      </c>
      <c r="E20" s="44" t="s">
        <v>309</v>
      </c>
    </row>
    <row r="21" spans="1:5">
      <c r="A21" s="99"/>
      <c r="B21" s="52" t="s">
        <v>310</v>
      </c>
      <c r="C21" s="140">
        <f>C13/C19</f>
        <v>3940.8425279999997</v>
      </c>
      <c r="D21" s="50" t="s">
        <v>311</v>
      </c>
      <c r="E21" s="99"/>
    </row>
    <row r="22" spans="1:5">
      <c r="A22" s="99"/>
      <c r="B22" s="52" t="s">
        <v>312</v>
      </c>
      <c r="C22" s="140">
        <f>C21/C20</f>
        <v>164.20177199999998</v>
      </c>
      <c r="D22" s="50" t="s">
        <v>313</v>
      </c>
      <c r="E22" s="104" t="s">
        <v>314</v>
      </c>
    </row>
    <row r="23" spans="1:5">
      <c r="A23" s="99"/>
      <c r="B23" s="52" t="s">
        <v>315</v>
      </c>
      <c r="C23" s="140">
        <f>C22/C18</f>
        <v>197.04212639999997</v>
      </c>
      <c r="D23" s="50" t="s">
        <v>313</v>
      </c>
      <c r="E23" s="99"/>
    </row>
    <row r="24" spans="1:5">
      <c r="A24" s="99"/>
      <c r="B24" s="52" t="s">
        <v>316</v>
      </c>
      <c r="C24" s="140">
        <f>C23/30</f>
        <v>6.5680708799999987</v>
      </c>
      <c r="D24" s="50" t="s">
        <v>317</v>
      </c>
      <c r="E24" s="99"/>
    </row>
    <row r="25" spans="1:5" ht="30" customHeight="1">
      <c r="A25" s="99"/>
      <c r="B25" s="52" t="s">
        <v>318</v>
      </c>
      <c r="C25" s="140">
        <f>ROUNDUP(C22/C16,0)</f>
        <v>17</v>
      </c>
      <c r="D25" s="50" t="s">
        <v>319</v>
      </c>
      <c r="E25" s="44" t="s">
        <v>320</v>
      </c>
    </row>
    <row r="26" spans="1:5">
      <c r="A26" s="99"/>
      <c r="B26" s="48" t="s">
        <v>321</v>
      </c>
      <c r="C26" s="136">
        <v>0.3</v>
      </c>
      <c r="D26" s="50" t="s">
        <v>284</v>
      </c>
      <c r="E26" s="44" t="s">
        <v>322</v>
      </c>
    </row>
    <row r="27" spans="1:5">
      <c r="A27" s="99"/>
      <c r="B27" s="46" t="s">
        <v>323</v>
      </c>
      <c r="C27" s="47"/>
      <c r="D27" s="47"/>
      <c r="E27" s="47"/>
    </row>
    <row r="28" spans="1:5">
      <c r="A28" s="99"/>
      <c r="B28" s="48" t="s">
        <v>324</v>
      </c>
      <c r="C28" s="141">
        <v>2.72</v>
      </c>
      <c r="D28" s="50" t="s">
        <v>325</v>
      </c>
      <c r="E28" s="44" t="s">
        <v>326</v>
      </c>
    </row>
    <row r="29" spans="1:5">
      <c r="A29" s="99"/>
      <c r="B29" s="48"/>
      <c r="C29" s="51"/>
      <c r="D29" s="50"/>
      <c r="E29" s="44"/>
    </row>
    <row r="30" spans="1:5">
      <c r="A30" s="99"/>
      <c r="B30" s="48" t="s">
        <v>327</v>
      </c>
      <c r="C30" s="135">
        <v>170</v>
      </c>
      <c r="D30" s="50" t="s">
        <v>328</v>
      </c>
      <c r="E30" s="44" t="s">
        <v>329</v>
      </c>
    </row>
    <row r="31" spans="1:5">
      <c r="A31" s="99"/>
      <c r="B31" s="48" t="s">
        <v>330</v>
      </c>
      <c r="C31" s="141">
        <v>5.3</v>
      </c>
      <c r="D31" s="50" t="s">
        <v>331</v>
      </c>
      <c r="E31" s="44" t="s">
        <v>332</v>
      </c>
    </row>
    <row r="32" spans="1:5">
      <c r="A32" s="99"/>
      <c r="B32" s="48" t="s">
        <v>333</v>
      </c>
      <c r="C32" s="135">
        <v>0</v>
      </c>
      <c r="D32" s="50" t="s">
        <v>334</v>
      </c>
      <c r="E32" s="44" t="s">
        <v>335</v>
      </c>
    </row>
    <row r="33" spans="1:5">
      <c r="A33" s="99"/>
      <c r="B33" s="48" t="s">
        <v>336</v>
      </c>
      <c r="C33" s="135">
        <v>0</v>
      </c>
      <c r="D33" s="50" t="s">
        <v>337</v>
      </c>
      <c r="E33" s="44" t="s">
        <v>338</v>
      </c>
    </row>
    <row r="34" spans="1:5">
      <c r="A34" s="99"/>
      <c r="B34" s="99"/>
      <c r="C34" s="99"/>
      <c r="D34" s="99"/>
      <c r="E34" s="99"/>
    </row>
    <row r="35" spans="1:5" ht="25.5" customHeight="1">
      <c r="A35" s="99"/>
      <c r="B35" s="46" t="s">
        <v>339</v>
      </c>
      <c r="C35" s="142"/>
      <c r="D35" s="47"/>
      <c r="E35" s="47"/>
    </row>
    <row r="36" spans="1:5">
      <c r="A36" s="99"/>
      <c r="B36" s="53" t="s">
        <v>340</v>
      </c>
      <c r="C36" s="99"/>
      <c r="D36" s="99"/>
      <c r="E36" s="99"/>
    </row>
    <row r="37" spans="1:5" ht="22.5" customHeight="1">
      <c r="A37" s="99"/>
      <c r="B37" s="48" t="s">
        <v>341</v>
      </c>
      <c r="C37" s="143">
        <v>4</v>
      </c>
      <c r="D37" s="50" t="s">
        <v>305</v>
      </c>
      <c r="E37" s="44" t="s">
        <v>342</v>
      </c>
    </row>
    <row r="38" spans="1:5" ht="30" customHeight="1">
      <c r="A38" s="99"/>
      <c r="B38" s="48" t="s">
        <v>343</v>
      </c>
      <c r="C38" s="143">
        <v>164.5</v>
      </c>
      <c r="D38" s="50" t="s">
        <v>344</v>
      </c>
      <c r="E38" s="44" t="s">
        <v>345</v>
      </c>
    </row>
    <row r="39" spans="1:5">
      <c r="A39" s="99"/>
      <c r="B39" s="48" t="s">
        <v>346</v>
      </c>
      <c r="C39" s="143">
        <v>166.25</v>
      </c>
      <c r="D39" s="50" t="s">
        <v>344</v>
      </c>
      <c r="E39" s="44" t="s">
        <v>347</v>
      </c>
    </row>
    <row r="40" spans="1:5">
      <c r="A40" s="99"/>
      <c r="B40" s="52" t="s">
        <v>348</v>
      </c>
      <c r="C40" s="144">
        <f>C38/C37</f>
        <v>41.125</v>
      </c>
      <c r="D40" s="50" t="s">
        <v>28</v>
      </c>
      <c r="E40" s="99"/>
    </row>
    <row r="41" spans="1:5">
      <c r="A41" s="99"/>
      <c r="B41" s="52" t="s">
        <v>349</v>
      </c>
      <c r="C41" s="144">
        <f>C39/C19</f>
        <v>166.25</v>
      </c>
      <c r="D41" s="50" t="s">
        <v>28</v>
      </c>
      <c r="E41" s="99"/>
    </row>
    <row r="42" spans="1:5">
      <c r="A42" s="99"/>
      <c r="B42" s="52" t="s">
        <v>350</v>
      </c>
      <c r="C42" s="144">
        <f>C40+C41</f>
        <v>207.375</v>
      </c>
      <c r="D42" s="50" t="s">
        <v>28</v>
      </c>
      <c r="E42" s="44" t="s">
        <v>351</v>
      </c>
    </row>
    <row r="43" spans="1:5">
      <c r="A43" s="99"/>
      <c r="B43" s="99"/>
      <c r="C43" s="99"/>
      <c r="D43" s="99"/>
      <c r="E43" s="99"/>
    </row>
    <row r="44" spans="1:5">
      <c r="A44" s="99"/>
      <c r="B44" s="48" t="s">
        <v>352</v>
      </c>
      <c r="C44" s="143">
        <v>120</v>
      </c>
      <c r="D44" s="50" t="s">
        <v>353</v>
      </c>
      <c r="E44" s="44" t="s">
        <v>354</v>
      </c>
    </row>
    <row r="45" spans="1:5">
      <c r="A45" s="99"/>
      <c r="B45" s="52" t="s">
        <v>355</v>
      </c>
      <c r="C45" s="144">
        <f>C44*C25</f>
        <v>2040</v>
      </c>
      <c r="D45" s="50" t="s">
        <v>356</v>
      </c>
      <c r="E45" s="99"/>
    </row>
    <row r="46" spans="1:5">
      <c r="A46" s="99"/>
      <c r="B46" s="99"/>
      <c r="C46" s="99"/>
      <c r="D46" s="99"/>
      <c r="E46" s="99"/>
    </row>
    <row r="47" spans="1:5" ht="24">
      <c r="A47" s="99"/>
      <c r="B47" s="54" t="s">
        <v>357</v>
      </c>
      <c r="C47" s="145" t="s">
        <v>358</v>
      </c>
      <c r="D47" s="50" t="s">
        <v>359</v>
      </c>
      <c r="E47" s="44" t="s">
        <v>360</v>
      </c>
    </row>
    <row r="48" spans="1:5">
      <c r="A48" s="99"/>
      <c r="B48" s="52" t="s">
        <v>361</v>
      </c>
      <c r="C48" s="140">
        <f>C42</f>
        <v>207.375</v>
      </c>
      <c r="D48" s="50" t="s">
        <v>28</v>
      </c>
      <c r="E48" s="99"/>
    </row>
    <row r="49" spans="1:5">
      <c r="A49" s="99"/>
      <c r="B49" s="46" t="s">
        <v>362</v>
      </c>
      <c r="C49" s="47"/>
      <c r="D49" s="47"/>
      <c r="E49" s="47"/>
    </row>
    <row r="50" spans="1:5">
      <c r="A50" s="99"/>
      <c r="B50" s="48" t="s">
        <v>363</v>
      </c>
      <c r="C50" s="135">
        <v>6000</v>
      </c>
      <c r="D50" s="50" t="s">
        <v>364</v>
      </c>
      <c r="E50" s="44" t="s">
        <v>365</v>
      </c>
    </row>
    <row r="51" spans="1:5">
      <c r="A51" s="99"/>
      <c r="B51" s="48" t="s">
        <v>366</v>
      </c>
      <c r="C51" s="135">
        <v>9</v>
      </c>
      <c r="D51" s="50" t="s">
        <v>367</v>
      </c>
      <c r="E51" s="44" t="s">
        <v>368</v>
      </c>
    </row>
    <row r="52" spans="1:5" ht="24" customHeight="1">
      <c r="A52" s="99"/>
      <c r="B52" s="48" t="s">
        <v>369</v>
      </c>
      <c r="C52" s="137">
        <v>0.01</v>
      </c>
      <c r="D52" s="50" t="s">
        <v>284</v>
      </c>
      <c r="E52" s="44" t="s">
        <v>370</v>
      </c>
    </row>
    <row r="53" spans="1:5">
      <c r="A53" s="99"/>
      <c r="B53" s="48" t="s">
        <v>371</v>
      </c>
      <c r="C53" s="135">
        <v>36</v>
      </c>
      <c r="D53" s="50" t="s">
        <v>334</v>
      </c>
      <c r="E53" s="44" t="s">
        <v>372</v>
      </c>
    </row>
    <row r="54" spans="1:5" ht="42.75" customHeight="1">
      <c r="A54" s="99"/>
      <c r="B54" s="48" t="s">
        <v>373</v>
      </c>
      <c r="C54" s="135">
        <v>60</v>
      </c>
      <c r="D54" s="50" t="s">
        <v>334</v>
      </c>
      <c r="E54" s="44" t="s">
        <v>374</v>
      </c>
    </row>
    <row r="55" spans="1:5">
      <c r="A55" s="99"/>
      <c r="B55" s="48" t="s">
        <v>375</v>
      </c>
      <c r="C55" s="135">
        <v>100000</v>
      </c>
      <c r="D55" s="50" t="s">
        <v>376</v>
      </c>
      <c r="E55" s="44" t="s">
        <v>377</v>
      </c>
    </row>
    <row r="56" spans="1:5">
      <c r="A56" s="99"/>
      <c r="B56" s="48" t="s">
        <v>378</v>
      </c>
      <c r="C56" s="135">
        <v>35000</v>
      </c>
      <c r="D56" s="50" t="s">
        <v>376</v>
      </c>
      <c r="E56" s="44" t="s">
        <v>377</v>
      </c>
    </row>
    <row r="57" spans="1:5" ht="45">
      <c r="A57" s="99"/>
      <c r="B57" s="48" t="s">
        <v>379</v>
      </c>
      <c r="C57" s="143">
        <v>21.37</v>
      </c>
      <c r="D57" s="50" t="s">
        <v>380</v>
      </c>
      <c r="E57" s="44" t="s">
        <v>381</v>
      </c>
    </row>
    <row r="58" spans="1:5" ht="45">
      <c r="A58" s="99"/>
      <c r="B58" s="48" t="s">
        <v>382</v>
      </c>
      <c r="C58" s="143">
        <v>30.53</v>
      </c>
      <c r="D58" s="50" t="s">
        <v>380</v>
      </c>
      <c r="E58" s="44" t="s">
        <v>383</v>
      </c>
    </row>
    <row r="59" spans="1:5">
      <c r="A59" s="99"/>
      <c r="B59" s="48" t="s">
        <v>384</v>
      </c>
      <c r="C59" s="135">
        <v>10000</v>
      </c>
      <c r="D59" s="50" t="s">
        <v>376</v>
      </c>
      <c r="E59" s="44" t="s">
        <v>377</v>
      </c>
    </row>
    <row r="60" spans="1:5">
      <c r="A60" s="99"/>
      <c r="B60" s="99"/>
      <c r="C60" s="99"/>
      <c r="D60" s="99"/>
      <c r="E60" s="99"/>
    </row>
    <row r="61" spans="1:5" ht="25.5">
      <c r="A61" s="99"/>
      <c r="B61" s="46" t="s">
        <v>385</v>
      </c>
      <c r="C61" s="47"/>
      <c r="D61" s="47"/>
      <c r="E61" s="47"/>
    </row>
    <row r="62" spans="1:5">
      <c r="A62" s="99"/>
      <c r="B62" s="48" t="s">
        <v>386</v>
      </c>
      <c r="C62" s="143">
        <v>360</v>
      </c>
      <c r="D62" s="50" t="s">
        <v>344</v>
      </c>
      <c r="E62" s="44" t="s">
        <v>387</v>
      </c>
    </row>
    <row r="63" spans="1:5" ht="45" customHeight="1">
      <c r="A63" s="99"/>
      <c r="B63" s="48" t="s">
        <v>388</v>
      </c>
      <c r="C63" s="146">
        <v>22.81</v>
      </c>
      <c r="D63" s="50" t="s">
        <v>389</v>
      </c>
      <c r="E63" s="44" t="s">
        <v>390</v>
      </c>
    </row>
    <row r="64" spans="1:5" ht="45" customHeight="1">
      <c r="A64" s="99"/>
      <c r="B64" s="48" t="s">
        <v>391</v>
      </c>
      <c r="C64" s="146">
        <v>2.2849599999999999</v>
      </c>
      <c r="D64" s="50" t="s">
        <v>392</v>
      </c>
      <c r="E64" s="44" t="s">
        <v>393</v>
      </c>
    </row>
    <row r="65" spans="1:5">
      <c r="A65" s="99"/>
      <c r="B65" s="48" t="s">
        <v>394</v>
      </c>
      <c r="C65" s="146">
        <v>0.45</v>
      </c>
      <c r="D65" s="50" t="s">
        <v>392</v>
      </c>
      <c r="E65" s="44" t="s">
        <v>393</v>
      </c>
    </row>
    <row r="66" spans="1:5" ht="22.5">
      <c r="A66" s="99"/>
      <c r="B66" s="48" t="s">
        <v>395</v>
      </c>
      <c r="C66" s="135">
        <v>5</v>
      </c>
      <c r="D66" s="50" t="s">
        <v>396</v>
      </c>
      <c r="E66" s="44" t="s">
        <v>397</v>
      </c>
    </row>
    <row r="67" spans="1:5" ht="25.5" customHeight="1">
      <c r="A67" s="99"/>
      <c r="B67" s="48" t="s">
        <v>398</v>
      </c>
      <c r="C67" s="135">
        <v>3</v>
      </c>
      <c r="D67" s="50" t="s">
        <v>308</v>
      </c>
      <c r="E67" s="44" t="s">
        <v>399</v>
      </c>
    </row>
    <row r="68" spans="1:5" ht="22.5">
      <c r="A68" s="99"/>
      <c r="B68" s="48" t="s">
        <v>400</v>
      </c>
      <c r="C68" s="137">
        <v>0.18</v>
      </c>
      <c r="D68" s="50" t="s">
        <v>284</v>
      </c>
      <c r="E68" s="44" t="s">
        <v>401</v>
      </c>
    </row>
    <row r="69" spans="1:5">
      <c r="A69" s="99"/>
      <c r="B69" s="53" t="s">
        <v>402</v>
      </c>
      <c r="C69" s="137">
        <v>1.2500000000000001E-2</v>
      </c>
      <c r="D69" s="50" t="s">
        <v>284</v>
      </c>
      <c r="E69" s="44" t="s">
        <v>403</v>
      </c>
    </row>
    <row r="70" spans="1:5" ht="22.5">
      <c r="A70" s="99"/>
      <c r="B70" s="52" t="s">
        <v>404</v>
      </c>
      <c r="C70" s="137">
        <v>5.7500000000000002E-2</v>
      </c>
      <c r="D70" s="50" t="s">
        <v>284</v>
      </c>
      <c r="E70" s="44" t="s">
        <v>405</v>
      </c>
    </row>
    <row r="71" spans="1:5">
      <c r="A71" s="99"/>
      <c r="B71" s="52" t="s">
        <v>406</v>
      </c>
      <c r="C71" s="140">
        <f>1/(1-C69-C70)/(1-C68)</f>
        <v>1.3113034356150011</v>
      </c>
      <c r="D71" s="50" t="s">
        <v>407</v>
      </c>
      <c r="E71" s="44" t="s">
        <v>408</v>
      </c>
    </row>
    <row r="72" spans="1:5">
      <c r="A72" s="99"/>
      <c r="B72" s="52" t="s">
        <v>409</v>
      </c>
      <c r="C72" s="147">
        <f>C63*C71</f>
        <v>29.910831366378172</v>
      </c>
      <c r="D72" s="50" t="s">
        <v>389</v>
      </c>
      <c r="E72" s="99"/>
    </row>
    <row r="73" spans="1:5" ht="22.5" customHeight="1">
      <c r="A73" s="99"/>
      <c r="B73" s="52" t="s">
        <v>410</v>
      </c>
      <c r="C73" s="147">
        <f>C64*C71</f>
        <v>2.9962758982428528</v>
      </c>
      <c r="D73" s="50" t="s">
        <v>392</v>
      </c>
      <c r="E73" s="99"/>
    </row>
    <row r="74" spans="1:5">
      <c r="A74" s="99"/>
      <c r="B74" s="52" t="s">
        <v>411</v>
      </c>
      <c r="C74" s="147">
        <f>C65*C71</f>
        <v>0.59008654602675048</v>
      </c>
      <c r="D74" s="50" t="s">
        <v>392</v>
      </c>
      <c r="E74" s="99"/>
    </row>
    <row r="75" spans="1:5" ht="22.5" customHeight="1">
      <c r="A75" s="99"/>
      <c r="B75" s="52" t="s">
        <v>412</v>
      </c>
      <c r="C75" s="148">
        <f>C66/7</f>
        <v>0.7142857142857143</v>
      </c>
      <c r="D75" s="50" t="s">
        <v>284</v>
      </c>
      <c r="E75" s="99"/>
    </row>
    <row r="76" spans="1:5" ht="30" customHeight="1">
      <c r="A76" s="99"/>
      <c r="B76" s="52" t="s">
        <v>413</v>
      </c>
      <c r="C76" s="148">
        <f>C67*C75/24</f>
        <v>8.9285714285714288E-2</v>
      </c>
      <c r="D76" s="50" t="s">
        <v>284</v>
      </c>
      <c r="E76" s="44" t="s">
        <v>414</v>
      </c>
    </row>
    <row r="77" spans="1:5" ht="30" customHeight="1">
      <c r="A77" s="99"/>
      <c r="B77" s="52" t="s">
        <v>415</v>
      </c>
      <c r="C77" s="137">
        <v>0</v>
      </c>
      <c r="D77" s="50" t="s">
        <v>416</v>
      </c>
      <c r="E77" s="44" t="s">
        <v>417</v>
      </c>
    </row>
    <row r="78" spans="1:5" ht="22.5">
      <c r="A78" s="99"/>
      <c r="B78" s="52" t="s">
        <v>418</v>
      </c>
      <c r="C78" s="147">
        <f>IF((C40+C41+IF(C13&gt;0,C45/C13,0))&gt;0,(C40*C74+C41*C76*C73+C41*(1-C76)*C74+IF(C13&gt;0,C45/C13,0)*C74)/(C40+C41+IF(C13&gt;0,C45/C13,0)),0)</f>
        <v>0.76189094700062787</v>
      </c>
      <c r="D78" s="50" t="s">
        <v>392</v>
      </c>
      <c r="E78" s="44" t="s">
        <v>419</v>
      </c>
    </row>
    <row r="79" spans="1:5" ht="22.5">
      <c r="A79" s="99"/>
      <c r="B79" s="52" t="s">
        <v>420</v>
      </c>
      <c r="C79" s="147">
        <f>C62*C72</f>
        <v>10767.899291896141</v>
      </c>
      <c r="D79" s="50" t="s">
        <v>421</v>
      </c>
      <c r="E79" s="44" t="s">
        <v>422</v>
      </c>
    </row>
    <row r="80" spans="1:5">
      <c r="A80" s="99"/>
      <c r="B80" s="52" t="s">
        <v>423</v>
      </c>
      <c r="C80" s="135">
        <v>178</v>
      </c>
      <c r="D80" s="50" t="s">
        <v>424</v>
      </c>
      <c r="E80" s="44" t="s">
        <v>425</v>
      </c>
    </row>
    <row r="81" spans="1:5">
      <c r="A81" s="99"/>
      <c r="B81" s="52" t="s">
        <v>426</v>
      </c>
      <c r="C81" s="141">
        <v>6.5</v>
      </c>
      <c r="D81" s="50" t="s">
        <v>427</v>
      </c>
      <c r="E81" s="44" t="s">
        <v>428</v>
      </c>
    </row>
    <row r="82" spans="1:5">
      <c r="A82" s="99"/>
      <c r="B82" s="52" t="s">
        <v>429</v>
      </c>
      <c r="C82" s="149">
        <f>C25*C80*C81</f>
        <v>19669</v>
      </c>
      <c r="D82" s="50" t="s">
        <v>376</v>
      </c>
      <c r="E82" s="44" t="s">
        <v>430</v>
      </c>
    </row>
    <row r="83" spans="1:5">
      <c r="A83" s="99"/>
      <c r="B83" s="99"/>
      <c r="C83" s="99"/>
      <c r="D83" s="99"/>
      <c r="E83" s="99"/>
    </row>
    <row r="84" spans="1:5" ht="30" customHeight="1">
      <c r="A84" s="99"/>
      <c r="B84" s="46" t="s">
        <v>431</v>
      </c>
      <c r="C84" s="47"/>
      <c r="D84" s="47"/>
      <c r="E84" s="47"/>
    </row>
    <row r="85" spans="1:5" ht="30" customHeight="1">
      <c r="A85" s="99"/>
      <c r="B85" s="48" t="s">
        <v>432</v>
      </c>
      <c r="C85" s="150">
        <v>0</v>
      </c>
      <c r="D85" s="50" t="s">
        <v>23</v>
      </c>
      <c r="E85" s="44" t="s">
        <v>433</v>
      </c>
    </row>
    <row r="86" spans="1:5" ht="30" customHeight="1">
      <c r="A86" s="99"/>
      <c r="B86" s="48" t="s">
        <v>434</v>
      </c>
      <c r="C86" s="150">
        <v>300000</v>
      </c>
      <c r="D86" s="50" t="s">
        <v>23</v>
      </c>
      <c r="E86" s="99"/>
    </row>
    <row r="87" spans="1:5" ht="30" customHeight="1">
      <c r="A87" s="99"/>
      <c r="B87" s="48" t="s">
        <v>435</v>
      </c>
      <c r="C87" s="150">
        <v>400000</v>
      </c>
      <c r="D87" s="50" t="s">
        <v>23</v>
      </c>
      <c r="E87" s="99"/>
    </row>
    <row r="88" spans="1:5" ht="30" customHeight="1">
      <c r="A88" s="99"/>
      <c r="B88" s="48" t="s">
        <v>436</v>
      </c>
      <c r="C88" s="150">
        <v>2210000</v>
      </c>
      <c r="D88" s="50" t="s">
        <v>23</v>
      </c>
      <c r="E88" s="99"/>
    </row>
    <row r="89" spans="1:5" ht="30" customHeight="1">
      <c r="A89" s="99"/>
      <c r="B89" s="48" t="s">
        <v>437</v>
      </c>
      <c r="C89" s="150">
        <v>240000</v>
      </c>
      <c r="D89" s="50" t="s">
        <v>23</v>
      </c>
      <c r="E89" s="99"/>
    </row>
    <row r="90" spans="1:5" ht="30" customHeight="1">
      <c r="A90" s="99"/>
      <c r="B90" s="48" t="s">
        <v>438</v>
      </c>
      <c r="C90" s="150">
        <v>150000</v>
      </c>
      <c r="D90" s="50" t="s">
        <v>23</v>
      </c>
      <c r="E90" s="99"/>
    </row>
    <row r="91" spans="1:5">
      <c r="A91" s="99"/>
      <c r="B91" s="48" t="s">
        <v>439</v>
      </c>
      <c r="C91" s="150">
        <v>312000</v>
      </c>
      <c r="D91" s="50" t="s">
        <v>23</v>
      </c>
      <c r="E91" s="99"/>
    </row>
    <row r="92" spans="1:5">
      <c r="A92" s="99"/>
      <c r="B92" s="48" t="s">
        <v>440</v>
      </c>
      <c r="C92" s="150">
        <v>450000</v>
      </c>
      <c r="D92" s="50" t="s">
        <v>23</v>
      </c>
      <c r="E92" s="99"/>
    </row>
    <row r="93" spans="1:5">
      <c r="B93" t="s">
        <v>441</v>
      </c>
      <c r="C93" s="151">
        <v>400000</v>
      </c>
      <c r="D93" s="50" t="s">
        <v>23</v>
      </c>
      <c r="E93" s="44" t="s">
        <v>442</v>
      </c>
    </row>
    <row r="94" spans="1:5">
      <c r="A94" s="99"/>
      <c r="B94" s="48" t="s">
        <v>443</v>
      </c>
      <c r="C94" s="150">
        <v>45000</v>
      </c>
      <c r="D94" s="50" t="s">
        <v>23</v>
      </c>
      <c r="E94" s="99"/>
    </row>
    <row r="95" spans="1:5" ht="75" customHeight="1">
      <c r="A95" s="99"/>
      <c r="B95" s="48" t="s">
        <v>444</v>
      </c>
      <c r="C95" s="150">
        <v>150000</v>
      </c>
      <c r="D95" s="50" t="s">
        <v>23</v>
      </c>
      <c r="E95" s="99"/>
    </row>
    <row r="96" spans="1:5">
      <c r="A96" s="99"/>
      <c r="B96" s="48" t="s">
        <v>445</v>
      </c>
      <c r="C96" s="150">
        <v>100000</v>
      </c>
      <c r="D96" s="50" t="s">
        <v>23</v>
      </c>
      <c r="E96" s="99"/>
    </row>
    <row r="97" spans="1:5">
      <c r="A97" s="99"/>
      <c r="B97" s="48" t="s">
        <v>446</v>
      </c>
      <c r="C97" s="152">
        <f>IF(C102&gt;0,0,'Serviços Astra Carbon'!D52)</f>
        <v>741000</v>
      </c>
      <c r="D97" s="50" t="s">
        <v>23</v>
      </c>
      <c r="E97" s="99"/>
    </row>
    <row r="98" spans="1:5">
      <c r="A98" s="99"/>
      <c r="B98" s="99"/>
      <c r="C98" s="99"/>
      <c r="D98" s="99"/>
      <c r="E98" s="99"/>
    </row>
    <row r="99" spans="1:5">
      <c r="A99" s="99"/>
      <c r="B99" s="46" t="s">
        <v>447</v>
      </c>
      <c r="C99" s="47"/>
      <c r="D99" s="47"/>
      <c r="E99" s="47"/>
    </row>
    <row r="100" spans="1:5">
      <c r="A100" s="99"/>
      <c r="B100" s="48" t="s">
        <v>448</v>
      </c>
      <c r="C100" s="135">
        <v>20</v>
      </c>
      <c r="D100" s="50" t="s">
        <v>449</v>
      </c>
      <c r="E100" s="44" t="s">
        <v>450</v>
      </c>
    </row>
    <row r="101" spans="1:5">
      <c r="A101" s="99"/>
      <c r="B101" s="48" t="s">
        <v>451</v>
      </c>
      <c r="C101" s="136">
        <v>0.1</v>
      </c>
      <c r="D101" s="50" t="s">
        <v>284</v>
      </c>
      <c r="E101" s="44" t="s">
        <v>452</v>
      </c>
    </row>
    <row r="102" spans="1:5">
      <c r="A102" s="99"/>
      <c r="B102" s="48" t="s">
        <v>453</v>
      </c>
      <c r="C102" s="136">
        <v>0</v>
      </c>
      <c r="D102" s="50" t="s">
        <v>284</v>
      </c>
      <c r="E102" s="44" t="s">
        <v>454</v>
      </c>
    </row>
    <row r="103" spans="1:5">
      <c r="A103" s="99"/>
      <c r="B103" s="48" t="s">
        <v>455</v>
      </c>
      <c r="C103" s="135">
        <v>2026</v>
      </c>
      <c r="D103" s="50" t="s">
        <v>456</v>
      </c>
      <c r="E103" s="44" t="s">
        <v>457</v>
      </c>
    </row>
    <row r="104" spans="1:5">
      <c r="A104" s="99"/>
      <c r="B104" s="48" t="s">
        <v>458</v>
      </c>
      <c r="C104" s="135">
        <v>2027</v>
      </c>
      <c r="D104" s="50" t="s">
        <v>456</v>
      </c>
      <c r="E104" s="44" t="s">
        <v>459</v>
      </c>
    </row>
    <row r="105" spans="1:5" ht="22.5">
      <c r="A105" s="99"/>
      <c r="B105" s="48" t="s">
        <v>460</v>
      </c>
      <c r="C105" s="143">
        <v>12</v>
      </c>
      <c r="D105" s="50" t="s">
        <v>317</v>
      </c>
      <c r="E105" s="44" t="s">
        <v>461</v>
      </c>
    </row>
    <row r="106" spans="1:5">
      <c r="A106" s="99"/>
      <c r="B106" s="48" t="s">
        <v>462</v>
      </c>
      <c r="C106" s="135">
        <v>6</v>
      </c>
      <c r="D106" s="50" t="s">
        <v>21</v>
      </c>
      <c r="E106" s="44" t="s">
        <v>463</v>
      </c>
    </row>
    <row r="107" spans="1:5" ht="22.5">
      <c r="A107" s="99"/>
      <c r="B107" s="56" t="s">
        <v>464</v>
      </c>
      <c r="C107" s="153">
        <v>0</v>
      </c>
      <c r="D107" s="55" t="s">
        <v>337</v>
      </c>
      <c r="E107" s="57" t="s">
        <v>465</v>
      </c>
    </row>
    <row r="108" spans="1:5">
      <c r="A108" s="99"/>
      <c r="B108" s="46" t="s">
        <v>466</v>
      </c>
      <c r="C108" s="47"/>
      <c r="D108" s="47"/>
      <c r="E108" s="47"/>
    </row>
    <row r="109" spans="1:5" ht="45">
      <c r="A109" s="99"/>
      <c r="B109" s="48" t="s">
        <v>467</v>
      </c>
      <c r="C109" s="136">
        <v>1.6500000000000001E-2</v>
      </c>
      <c r="D109" s="50" t="s">
        <v>468</v>
      </c>
      <c r="E109" s="44" t="s">
        <v>469</v>
      </c>
    </row>
    <row r="110" spans="1:5" s="116" customFormat="1" ht="45">
      <c r="A110" s="99"/>
      <c r="B110" s="48" t="s">
        <v>470</v>
      </c>
      <c r="C110" s="136">
        <v>7.5999999999999998E-2</v>
      </c>
      <c r="D110" s="50" t="s">
        <v>468</v>
      </c>
      <c r="E110" s="44" t="s">
        <v>471</v>
      </c>
    </row>
    <row r="111" spans="1:5">
      <c r="A111" s="99"/>
      <c r="B111" s="48" t="s">
        <v>472</v>
      </c>
      <c r="C111" s="135">
        <v>1.6500000000000001E-2</v>
      </c>
      <c r="D111" s="50" t="s">
        <v>284</v>
      </c>
      <c r="E111" s="44" t="s">
        <v>473</v>
      </c>
    </row>
    <row r="112" spans="1:5">
      <c r="A112" s="99"/>
      <c r="B112" s="48" t="s">
        <v>474</v>
      </c>
      <c r="C112" s="136">
        <v>7.5999999999999998E-2</v>
      </c>
      <c r="D112" s="50" t="s">
        <v>284</v>
      </c>
      <c r="E112" s="44" t="s">
        <v>473</v>
      </c>
    </row>
    <row r="113" spans="1:5">
      <c r="A113" s="99"/>
      <c r="B113" s="48" t="s">
        <v>475</v>
      </c>
      <c r="C113" s="136">
        <v>0</v>
      </c>
      <c r="D113" s="50" t="s">
        <v>284</v>
      </c>
      <c r="E113" s="44" t="s">
        <v>476</v>
      </c>
    </row>
    <row r="114" spans="1:5">
      <c r="A114" s="99"/>
      <c r="B114" s="48" t="s">
        <v>477</v>
      </c>
      <c r="C114" s="136">
        <v>0.15</v>
      </c>
      <c r="D114" s="50" t="s">
        <v>284</v>
      </c>
      <c r="E114" s="44" t="s">
        <v>192</v>
      </c>
    </row>
    <row r="115" spans="1:5" ht="22.5" customHeight="1">
      <c r="A115" s="99"/>
      <c r="B115" s="48" t="s">
        <v>478</v>
      </c>
      <c r="C115" s="135">
        <v>0.1</v>
      </c>
      <c r="D115" s="50" t="s">
        <v>284</v>
      </c>
      <c r="E115" s="44" t="s">
        <v>479</v>
      </c>
    </row>
    <row r="116" spans="1:5" ht="22.5" customHeight="1">
      <c r="A116" s="99"/>
      <c r="B116" s="48" t="s">
        <v>480</v>
      </c>
      <c r="C116" s="154">
        <v>240000</v>
      </c>
      <c r="D116" s="50" t="s">
        <v>376</v>
      </c>
      <c r="E116" s="44" t="s">
        <v>481</v>
      </c>
    </row>
    <row r="117" spans="1:5" ht="22.5" customHeight="1">
      <c r="A117" s="99"/>
      <c r="B117" s="48" t="s">
        <v>482</v>
      </c>
      <c r="C117" s="136">
        <v>0.09</v>
      </c>
      <c r="D117" s="50" t="s">
        <v>284</v>
      </c>
      <c r="E117" s="44" t="s">
        <v>483</v>
      </c>
    </row>
    <row r="118" spans="1:5" ht="30" customHeight="1">
      <c r="A118" s="99"/>
      <c r="B118" s="48" t="s">
        <v>484</v>
      </c>
      <c r="C118" s="136">
        <v>0.3</v>
      </c>
      <c r="D118" s="50" t="s">
        <v>284</v>
      </c>
      <c r="E118" s="44" t="s">
        <v>485</v>
      </c>
    </row>
    <row r="119" spans="1:5" ht="22.5" customHeight="1">
      <c r="A119" s="99"/>
      <c r="B119" s="48" t="s">
        <v>486</v>
      </c>
      <c r="C119" s="135">
        <v>0.3</v>
      </c>
      <c r="D119" s="50" t="s">
        <v>284</v>
      </c>
      <c r="E119" s="44" t="s">
        <v>485</v>
      </c>
    </row>
    <row r="120" spans="1:5">
      <c r="A120" s="99"/>
      <c r="B120" s="48" t="s">
        <v>487</v>
      </c>
      <c r="C120" s="136">
        <v>0</v>
      </c>
      <c r="D120" s="50" t="s">
        <v>376</v>
      </c>
      <c r="E120" s="44" t="s">
        <v>488</v>
      </c>
    </row>
    <row r="121" spans="1:5" ht="22.5" customHeight="1">
      <c r="A121" s="99"/>
      <c r="B121" s="48" t="s">
        <v>489</v>
      </c>
      <c r="C121" s="136">
        <v>0</v>
      </c>
      <c r="D121" s="50" t="s">
        <v>376</v>
      </c>
      <c r="E121" s="44" t="s">
        <v>490</v>
      </c>
    </row>
    <row r="122" spans="1:5" ht="22.5" customHeight="1"/>
    <row r="123" spans="1:5" ht="22.5" customHeight="1"/>
    <row r="124" spans="1:5" hidden="1"/>
    <row r="125" spans="1:5" ht="45" customHeight="1"/>
    <row r="126" spans="1:5" ht="4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1:Y10"/>
  <sheetViews>
    <sheetView zoomScaleNormal="100" workbookViewId="0"/>
  </sheetViews>
  <sheetFormatPr defaultColWidth="8.7109375" defaultRowHeight="15"/>
  <cols>
    <col min="1" max="1" width="3" customWidth="1"/>
    <col min="2" max="2" width="42" customWidth="1"/>
    <col min="3" max="3" width="12" customWidth="1"/>
    <col min="4" max="4" width="22" customWidth="1"/>
    <col min="5" max="25" width="14" customWidth="1"/>
  </cols>
  <sheetData>
    <row r="1" spans="2:25" ht="15.75" customHeight="1">
      <c r="B1" s="12" t="s">
        <v>491</v>
      </c>
    </row>
    <row r="2" spans="2:25">
      <c r="B2" s="8" t="s">
        <v>492</v>
      </c>
    </row>
    <row r="3" spans="2:25">
      <c r="B3" s="15" t="s">
        <v>493</v>
      </c>
      <c r="C3" s="15" t="s">
        <v>275</v>
      </c>
      <c r="D3" s="15" t="s">
        <v>494</v>
      </c>
      <c r="E3" s="15" t="s">
        <v>495</v>
      </c>
      <c r="F3" s="15" t="s">
        <v>496</v>
      </c>
      <c r="G3" s="15" t="s">
        <v>497</v>
      </c>
      <c r="H3" s="15" t="s">
        <v>498</v>
      </c>
      <c r="I3" s="15" t="s">
        <v>499</v>
      </c>
      <c r="J3" s="15" t="s">
        <v>500</v>
      </c>
      <c r="K3" s="15" t="s">
        <v>501</v>
      </c>
      <c r="L3" s="15" t="s">
        <v>502</v>
      </c>
      <c r="M3" s="15" t="s">
        <v>503</v>
      </c>
      <c r="N3" s="15" t="s">
        <v>504</v>
      </c>
      <c r="O3" s="15" t="s">
        <v>505</v>
      </c>
      <c r="P3" s="15" t="s">
        <v>506</v>
      </c>
      <c r="Q3" s="15" t="s">
        <v>507</v>
      </c>
      <c r="R3" s="15" t="s">
        <v>508</v>
      </c>
      <c r="S3" s="15" t="s">
        <v>509</v>
      </c>
      <c r="T3" s="15" t="s">
        <v>510</v>
      </c>
      <c r="U3" s="15" t="s">
        <v>511</v>
      </c>
      <c r="V3" s="15" t="s">
        <v>512</v>
      </c>
      <c r="W3" s="15" t="s">
        <v>513</v>
      </c>
      <c r="X3" s="15" t="s">
        <v>514</v>
      </c>
      <c r="Y3" s="15" t="s">
        <v>515</v>
      </c>
    </row>
    <row r="4" spans="2:25">
      <c r="B4" s="5" t="s">
        <v>13</v>
      </c>
      <c r="C4" s="13" t="s">
        <v>14</v>
      </c>
      <c r="D4" s="8" t="s">
        <v>516</v>
      </c>
      <c r="E4" s="17">
        <v>0</v>
      </c>
      <c r="F4" s="14">
        <f>PREMISSAS!$C$13</f>
        <v>3940.8425279999997</v>
      </c>
      <c r="G4" s="14">
        <f>PREMISSAS!$C$13</f>
        <v>3940.8425279999997</v>
      </c>
      <c r="H4" s="14">
        <f>PREMISSAS!$C$13</f>
        <v>3940.8425279999997</v>
      </c>
      <c r="I4" s="14">
        <f>PREMISSAS!$C$13</f>
        <v>3940.8425279999997</v>
      </c>
      <c r="J4" s="14">
        <f>PREMISSAS!$C$13</f>
        <v>3940.8425279999997</v>
      </c>
      <c r="K4" s="14">
        <f>PREMISSAS!$C$13</f>
        <v>3940.8425279999997</v>
      </c>
      <c r="L4" s="14">
        <f>PREMISSAS!$C$13</f>
        <v>3940.8425279999997</v>
      </c>
      <c r="M4" s="14">
        <f>PREMISSAS!$C$13</f>
        <v>3940.8425279999997</v>
      </c>
      <c r="N4" s="14">
        <f>PREMISSAS!$C$13</f>
        <v>3940.8425279999997</v>
      </c>
      <c r="O4" s="14">
        <f>PREMISSAS!$C$13</f>
        <v>3940.8425279999997</v>
      </c>
      <c r="P4" s="14">
        <f>PREMISSAS!$C$13</f>
        <v>3940.8425279999997</v>
      </c>
      <c r="Q4" s="14">
        <f>PREMISSAS!$C$13</f>
        <v>3940.8425279999997</v>
      </c>
      <c r="R4" s="14">
        <f>PREMISSAS!$C$13</f>
        <v>3940.8425279999997</v>
      </c>
      <c r="S4" s="14">
        <f>PREMISSAS!$C$13</f>
        <v>3940.8425279999997</v>
      </c>
      <c r="T4" s="14">
        <f>PREMISSAS!$C$13</f>
        <v>3940.8425279999997</v>
      </c>
      <c r="U4" s="14">
        <f>PREMISSAS!$C$13</f>
        <v>3940.8425279999997</v>
      </c>
      <c r="V4" s="14">
        <f>PREMISSAS!$C$13</f>
        <v>3940.8425279999997</v>
      </c>
      <c r="W4" s="14">
        <f>PREMISSAS!$C$13</f>
        <v>3940.8425279999997</v>
      </c>
      <c r="X4" s="14">
        <f>PREMISSAS!$C$13</f>
        <v>3940.8425279999997</v>
      </c>
      <c r="Y4" s="14">
        <f>PREMISSAS!$C$13</f>
        <v>3940.8425279999997</v>
      </c>
    </row>
    <row r="5" spans="2:25">
      <c r="B5" s="5" t="s">
        <v>15</v>
      </c>
      <c r="C5" s="13" t="s">
        <v>14</v>
      </c>
      <c r="D5" s="8" t="s">
        <v>517</v>
      </c>
      <c r="E5" s="17">
        <v>0</v>
      </c>
      <c r="F5" s="17">
        <f>F4*PREMISSAS!$C$26</f>
        <v>1182.2527583999999</v>
      </c>
      <c r="G5" s="17">
        <f>G4*PREMISSAS!$C$26</f>
        <v>1182.2527583999999</v>
      </c>
      <c r="H5" s="17">
        <f>H4*PREMISSAS!$C$26</f>
        <v>1182.2527583999999</v>
      </c>
      <c r="I5" s="17">
        <f>I4*PREMISSAS!$C$26</f>
        <v>1182.2527583999999</v>
      </c>
      <c r="J5" s="17">
        <f>J4*PREMISSAS!$C$26</f>
        <v>1182.2527583999999</v>
      </c>
      <c r="K5" s="17">
        <f>K4*PREMISSAS!$C$26</f>
        <v>1182.2527583999999</v>
      </c>
      <c r="L5" s="17">
        <f>L4*PREMISSAS!$C$26</f>
        <v>1182.2527583999999</v>
      </c>
      <c r="M5" s="17">
        <f>M4*PREMISSAS!$C$26</f>
        <v>1182.2527583999999</v>
      </c>
      <c r="N5" s="17">
        <f>N4*PREMISSAS!$C$26</f>
        <v>1182.2527583999999</v>
      </c>
      <c r="O5" s="17">
        <f>O4*PREMISSAS!$C$26</f>
        <v>1182.2527583999999</v>
      </c>
      <c r="P5" s="17">
        <f>P4*PREMISSAS!$C$26</f>
        <v>1182.2527583999999</v>
      </c>
      <c r="Q5" s="17">
        <f>Q4*PREMISSAS!$C$26</f>
        <v>1182.2527583999999</v>
      </c>
      <c r="R5" s="17">
        <f>R4*PREMISSAS!$C$26</f>
        <v>1182.2527583999999</v>
      </c>
      <c r="S5" s="17">
        <f>S4*PREMISSAS!$C$26</f>
        <v>1182.2527583999999</v>
      </c>
      <c r="T5" s="17">
        <f>T4*PREMISSAS!$C$26</f>
        <v>1182.2527583999999</v>
      </c>
      <c r="U5" s="17">
        <f>U4*PREMISSAS!$C$26</f>
        <v>1182.2527583999999</v>
      </c>
      <c r="V5" s="17">
        <f>V4*PREMISSAS!$C$26</f>
        <v>1182.2527583999999</v>
      </c>
      <c r="W5" s="17">
        <f>W4*PREMISSAS!$C$26</f>
        <v>1182.2527583999999</v>
      </c>
      <c r="X5" s="17">
        <f>X4*PREMISSAS!$C$26</f>
        <v>1182.2527583999999</v>
      </c>
      <c r="Y5" s="17">
        <f>Y4*PREMISSAS!$C$26</f>
        <v>1182.2527583999999</v>
      </c>
    </row>
    <row r="6" spans="2:25">
      <c r="B6" s="5" t="s">
        <v>518</v>
      </c>
      <c r="C6" s="13" t="s">
        <v>17</v>
      </c>
      <c r="D6" s="8" t="s">
        <v>519</v>
      </c>
      <c r="E6" s="17">
        <v>0</v>
      </c>
      <c r="F6" s="17">
        <f>F5*PREMISSAS!$C$28</f>
        <v>3215.7275028480003</v>
      </c>
      <c r="G6" s="17">
        <f>G5*PREMISSAS!$C$28</f>
        <v>3215.7275028480003</v>
      </c>
      <c r="H6" s="17">
        <f>H5*PREMISSAS!$C$28</f>
        <v>3215.7275028480003</v>
      </c>
      <c r="I6" s="17">
        <f>I5*PREMISSAS!$C$28</f>
        <v>3215.7275028480003</v>
      </c>
      <c r="J6" s="17">
        <f>J5*PREMISSAS!$C$28</f>
        <v>3215.7275028480003</v>
      </c>
      <c r="K6" s="17">
        <f>K5*PREMISSAS!$C$28</f>
        <v>3215.7275028480003</v>
      </c>
      <c r="L6" s="17">
        <f>L5*PREMISSAS!$C$28</f>
        <v>3215.7275028480003</v>
      </c>
      <c r="M6" s="17">
        <f>M5*PREMISSAS!$C$28</f>
        <v>3215.7275028480003</v>
      </c>
      <c r="N6" s="17">
        <f>N5*PREMISSAS!$C$28</f>
        <v>3215.7275028480003</v>
      </c>
      <c r="O6" s="17">
        <f>O5*PREMISSAS!$C$28</f>
        <v>3215.7275028480003</v>
      </c>
      <c r="P6" s="17">
        <f>P5*PREMISSAS!$C$28</f>
        <v>3215.7275028480003</v>
      </c>
      <c r="Q6" s="17">
        <f>Q5*PREMISSAS!$C$28</f>
        <v>3215.7275028480003</v>
      </c>
      <c r="R6" s="17">
        <f>R5*PREMISSAS!$C$28</f>
        <v>3215.7275028480003</v>
      </c>
      <c r="S6" s="17">
        <f>S5*PREMISSAS!$C$28</f>
        <v>3215.7275028480003</v>
      </c>
      <c r="T6" s="17">
        <f>T5*PREMISSAS!$C$28</f>
        <v>3215.7275028480003</v>
      </c>
      <c r="U6" s="17">
        <f>U5*PREMISSAS!$C$28</f>
        <v>3215.7275028480003</v>
      </c>
      <c r="V6" s="17">
        <f>V5*PREMISSAS!$C$28</f>
        <v>3215.7275028480003</v>
      </c>
      <c r="W6" s="17">
        <f>W5*PREMISSAS!$C$28</f>
        <v>3215.7275028480003</v>
      </c>
      <c r="X6" s="17">
        <f>X5*PREMISSAS!$C$28</f>
        <v>3215.7275028480003</v>
      </c>
      <c r="Y6" s="17">
        <f>Y5*PREMISSAS!$C$28</f>
        <v>3215.7275028480003</v>
      </c>
    </row>
    <row r="7" spans="2:25">
      <c r="B7" s="5"/>
      <c r="C7" s="13"/>
      <c r="D7" s="8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2:25">
      <c r="B8" s="18" t="s">
        <v>520</v>
      </c>
      <c r="C8" s="18" t="s">
        <v>17</v>
      </c>
      <c r="D8" s="18" t="s">
        <v>521</v>
      </c>
      <c r="E8" s="19">
        <v>0</v>
      </c>
      <c r="F8" s="19">
        <f t="shared" ref="F8:Y8" si="0">F6-F7</f>
        <v>3215.7275028480003</v>
      </c>
      <c r="G8" s="19">
        <f t="shared" si="0"/>
        <v>3215.7275028480003</v>
      </c>
      <c r="H8" s="19">
        <f t="shared" si="0"/>
        <v>3215.7275028480003</v>
      </c>
      <c r="I8" s="19">
        <f t="shared" si="0"/>
        <v>3215.7275028480003</v>
      </c>
      <c r="J8" s="19">
        <f t="shared" si="0"/>
        <v>3215.7275028480003</v>
      </c>
      <c r="K8" s="19">
        <f t="shared" si="0"/>
        <v>3215.7275028480003</v>
      </c>
      <c r="L8" s="19">
        <f t="shared" si="0"/>
        <v>3215.7275028480003</v>
      </c>
      <c r="M8" s="19">
        <f t="shared" si="0"/>
        <v>3215.7275028480003</v>
      </c>
      <c r="N8" s="19">
        <f t="shared" si="0"/>
        <v>3215.7275028480003</v>
      </c>
      <c r="O8" s="19">
        <f t="shared" si="0"/>
        <v>3215.7275028480003</v>
      </c>
      <c r="P8" s="19">
        <f t="shared" si="0"/>
        <v>3215.7275028480003</v>
      </c>
      <c r="Q8" s="19">
        <f t="shared" si="0"/>
        <v>3215.7275028480003</v>
      </c>
      <c r="R8" s="19">
        <f t="shared" si="0"/>
        <v>3215.7275028480003</v>
      </c>
      <c r="S8" s="19">
        <f t="shared" si="0"/>
        <v>3215.7275028480003</v>
      </c>
      <c r="T8" s="19">
        <f t="shared" si="0"/>
        <v>3215.7275028480003</v>
      </c>
      <c r="U8" s="19">
        <f t="shared" si="0"/>
        <v>3215.7275028480003</v>
      </c>
      <c r="V8" s="19">
        <f t="shared" si="0"/>
        <v>3215.7275028480003</v>
      </c>
      <c r="W8" s="19">
        <f t="shared" si="0"/>
        <v>3215.7275028480003</v>
      </c>
      <c r="X8" s="19">
        <f t="shared" si="0"/>
        <v>3215.7275028480003</v>
      </c>
      <c r="Y8" s="19">
        <f t="shared" si="0"/>
        <v>3215.7275028480003</v>
      </c>
    </row>
    <row r="9" spans="2:25">
      <c r="B9" s="5" t="s">
        <v>18</v>
      </c>
      <c r="C9" s="13" t="s">
        <v>313</v>
      </c>
      <c r="D9" s="8" t="s">
        <v>56</v>
      </c>
      <c r="E9" s="17">
        <v>0</v>
      </c>
      <c r="F9" s="14">
        <f>PREMISSAS!$C$22</f>
        <v>164.20177199999998</v>
      </c>
      <c r="G9" s="14">
        <f>PREMISSAS!$C$22</f>
        <v>164.20177199999998</v>
      </c>
      <c r="H9" s="14">
        <f>PREMISSAS!$C$22</f>
        <v>164.20177199999998</v>
      </c>
      <c r="I9" s="14">
        <f>PREMISSAS!$C$22</f>
        <v>164.20177199999998</v>
      </c>
      <c r="J9" s="14">
        <f>PREMISSAS!$C$22</f>
        <v>164.20177199999998</v>
      </c>
      <c r="K9" s="14">
        <f>PREMISSAS!$C$22</f>
        <v>164.20177199999998</v>
      </c>
      <c r="L9" s="14">
        <f>PREMISSAS!$C$22</f>
        <v>164.20177199999998</v>
      </c>
      <c r="M9" s="14">
        <f>PREMISSAS!$C$22</f>
        <v>164.20177199999998</v>
      </c>
      <c r="N9" s="14">
        <f>PREMISSAS!$C$22</f>
        <v>164.20177199999998</v>
      </c>
      <c r="O9" s="14">
        <f>PREMISSAS!$C$22</f>
        <v>164.20177199999998</v>
      </c>
      <c r="P9" s="14">
        <f>PREMISSAS!$C$22</f>
        <v>164.20177199999998</v>
      </c>
      <c r="Q9" s="14">
        <f>PREMISSAS!$C$22</f>
        <v>164.20177199999998</v>
      </c>
      <c r="R9" s="14">
        <f>PREMISSAS!$C$22</f>
        <v>164.20177199999998</v>
      </c>
      <c r="S9" s="14">
        <f>PREMISSAS!$C$22</f>
        <v>164.20177199999998</v>
      </c>
      <c r="T9" s="14">
        <f>PREMISSAS!$C$22</f>
        <v>164.20177199999998</v>
      </c>
      <c r="U9" s="14">
        <f>PREMISSAS!$C$22</f>
        <v>164.20177199999998</v>
      </c>
      <c r="V9" s="14">
        <f>PREMISSAS!$C$22</f>
        <v>164.20177199999998</v>
      </c>
      <c r="W9" s="14">
        <f>PREMISSAS!$C$22</f>
        <v>164.20177199999998</v>
      </c>
      <c r="X9" s="14">
        <f>PREMISSAS!$C$22</f>
        <v>164.20177199999998</v>
      </c>
      <c r="Y9" s="14">
        <f>PREMISSAS!$C$22</f>
        <v>164.20177199999998</v>
      </c>
    </row>
    <row r="10" spans="2:25">
      <c r="B10" s="5" t="s">
        <v>20</v>
      </c>
      <c r="C10" s="13" t="s">
        <v>317</v>
      </c>
      <c r="D10" s="8" t="s">
        <v>56</v>
      </c>
      <c r="E10" s="17">
        <v>0</v>
      </c>
      <c r="F10" s="14">
        <f>PREMISSAS!$C$24</f>
        <v>6.5680708799999987</v>
      </c>
      <c r="G10" s="14">
        <f>PREMISSAS!$C$24</f>
        <v>6.5680708799999987</v>
      </c>
      <c r="H10" s="14">
        <f>PREMISSAS!$C$24</f>
        <v>6.5680708799999987</v>
      </c>
      <c r="I10" s="14">
        <f>PREMISSAS!$C$24</f>
        <v>6.5680708799999987</v>
      </c>
      <c r="J10" s="14">
        <f>PREMISSAS!$C$24</f>
        <v>6.5680708799999987</v>
      </c>
      <c r="K10" s="14">
        <f>PREMISSAS!$C$24</f>
        <v>6.5680708799999987</v>
      </c>
      <c r="L10" s="14">
        <f>PREMISSAS!$C$24</f>
        <v>6.5680708799999987</v>
      </c>
      <c r="M10" s="14">
        <f>PREMISSAS!$C$24</f>
        <v>6.5680708799999987</v>
      </c>
      <c r="N10" s="14">
        <f>PREMISSAS!$C$24</f>
        <v>6.5680708799999987</v>
      </c>
      <c r="O10" s="14">
        <f>PREMISSAS!$C$24</f>
        <v>6.5680708799999987</v>
      </c>
      <c r="P10" s="14">
        <f>PREMISSAS!$C$24</f>
        <v>6.5680708799999987</v>
      </c>
      <c r="Q10" s="14">
        <f>PREMISSAS!$C$24</f>
        <v>6.5680708799999987</v>
      </c>
      <c r="R10" s="14">
        <f>PREMISSAS!$C$24</f>
        <v>6.5680708799999987</v>
      </c>
      <c r="S10" s="14">
        <f>PREMISSAS!$C$24</f>
        <v>6.5680708799999987</v>
      </c>
      <c r="T10" s="14">
        <f>PREMISSAS!$C$24</f>
        <v>6.5680708799999987</v>
      </c>
      <c r="U10" s="14">
        <f>PREMISSAS!$C$24</f>
        <v>6.5680708799999987</v>
      </c>
      <c r="V10" s="14">
        <f>PREMISSAS!$C$24</f>
        <v>6.5680708799999987</v>
      </c>
      <c r="W10" s="14">
        <f>PREMISSAS!$C$24</f>
        <v>6.5680708799999987</v>
      </c>
      <c r="X10" s="14">
        <f>PREMISSAS!$C$24</f>
        <v>6.5680708799999987</v>
      </c>
      <c r="Y10" s="14">
        <f>PREMISSAS!$C$24</f>
        <v>6.5680708799999987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0000"/>
  </sheetPr>
  <dimension ref="B1:Y26"/>
  <sheetViews>
    <sheetView zoomScaleNormal="100" workbookViewId="0">
      <selection activeCell="C16" sqref="C16"/>
    </sheetView>
  </sheetViews>
  <sheetFormatPr defaultColWidth="8.7109375" defaultRowHeight="15"/>
  <cols>
    <col min="1" max="1" width="3" customWidth="1"/>
    <col min="2" max="2" width="42" customWidth="1"/>
    <col min="3" max="3" width="18" customWidth="1"/>
    <col min="4" max="4" width="12" customWidth="1"/>
    <col min="5" max="5" width="50" customWidth="1"/>
  </cols>
  <sheetData>
    <row r="1" spans="2:5" ht="15.75" customHeight="1">
      <c r="B1" s="12" t="s">
        <v>522</v>
      </c>
    </row>
    <row r="2" spans="2:5">
      <c r="B2" s="15" t="s">
        <v>523</v>
      </c>
      <c r="C2" s="15" t="s">
        <v>524</v>
      </c>
      <c r="D2" s="15" t="s">
        <v>525</v>
      </c>
      <c r="E2" s="15" t="s">
        <v>526</v>
      </c>
    </row>
    <row r="3" spans="2:5">
      <c r="B3" s="5" t="s">
        <v>432</v>
      </c>
      <c r="C3" s="14">
        <f>PREMISSAS!C85</f>
        <v>0</v>
      </c>
      <c r="D3" s="20">
        <f t="shared" ref="D3:D15" si="0">IF($C$16&gt;0,C3/$C$16,0)</f>
        <v>0</v>
      </c>
      <c r="E3" s="8" t="s">
        <v>527</v>
      </c>
    </row>
    <row r="4" spans="2:5">
      <c r="B4" s="5" t="s">
        <v>434</v>
      </c>
      <c r="C4" s="14">
        <f>PREMISSAS!C86</f>
        <v>300000</v>
      </c>
      <c r="D4" s="20">
        <f t="shared" si="0"/>
        <v>5.4565296471444161E-2</v>
      </c>
      <c r="E4" s="8" t="s">
        <v>528</v>
      </c>
    </row>
    <row r="5" spans="2:5">
      <c r="B5" s="5" t="s">
        <v>435</v>
      </c>
      <c r="C5" s="14">
        <f>PREMISSAS!C87</f>
        <v>400000</v>
      </c>
      <c r="D5" s="20">
        <f t="shared" si="0"/>
        <v>7.275372862859221E-2</v>
      </c>
      <c r="E5" s="8" t="s">
        <v>529</v>
      </c>
    </row>
    <row r="6" spans="2:5">
      <c r="B6" s="5" t="s">
        <v>530</v>
      </c>
      <c r="C6" s="14">
        <f>PREMISSAS!C88</f>
        <v>2210000</v>
      </c>
      <c r="D6" s="20">
        <f t="shared" si="0"/>
        <v>0.40196435067297198</v>
      </c>
      <c r="E6" s="8" t="s">
        <v>531</v>
      </c>
    </row>
    <row r="7" spans="2:5">
      <c r="B7" s="5" t="s">
        <v>437</v>
      </c>
      <c r="C7" s="14">
        <f>PREMISSAS!C89</f>
        <v>240000</v>
      </c>
      <c r="D7" s="20">
        <f t="shared" si="0"/>
        <v>4.3652237177155329E-2</v>
      </c>
      <c r="E7" s="8" t="s">
        <v>532</v>
      </c>
    </row>
    <row r="8" spans="2:5">
      <c r="B8" s="5" t="s">
        <v>438</v>
      </c>
      <c r="C8" s="14">
        <f>PREMISSAS!C90</f>
        <v>150000</v>
      </c>
      <c r="D8" s="20">
        <f t="shared" si="0"/>
        <v>2.728264823572208E-2</v>
      </c>
      <c r="E8" s="8" t="s">
        <v>533</v>
      </c>
    </row>
    <row r="9" spans="2:5">
      <c r="B9" s="5" t="s">
        <v>439</v>
      </c>
      <c r="C9" s="14">
        <f>PREMISSAS!C91</f>
        <v>312000</v>
      </c>
      <c r="D9" s="20">
        <f t="shared" si="0"/>
        <v>5.6747908330301931E-2</v>
      </c>
      <c r="E9" s="8" t="s">
        <v>534</v>
      </c>
    </row>
    <row r="10" spans="2:5">
      <c r="B10" s="5" t="s">
        <v>440</v>
      </c>
      <c r="C10" s="14">
        <f>PREMISSAS!C92</f>
        <v>450000</v>
      </c>
      <c r="D10" s="20">
        <f t="shared" si="0"/>
        <v>8.1847944707166248E-2</v>
      </c>
      <c r="E10" s="8" t="s">
        <v>535</v>
      </c>
    </row>
    <row r="11" spans="2:5">
      <c r="B11" t="s">
        <v>441</v>
      </c>
      <c r="C11" s="14">
        <f>PREMISSAS!C93</f>
        <v>400000</v>
      </c>
      <c r="D11" s="20">
        <f t="shared" si="0"/>
        <v>7.275372862859221E-2</v>
      </c>
      <c r="E11" s="8" t="s">
        <v>536</v>
      </c>
    </row>
    <row r="12" spans="2:5">
      <c r="B12" s="5" t="s">
        <v>537</v>
      </c>
      <c r="C12" s="14">
        <f>PREMISSAS!C94</f>
        <v>45000</v>
      </c>
      <c r="D12" s="20">
        <f t="shared" si="0"/>
        <v>8.1847944707166241E-3</v>
      </c>
      <c r="E12" s="8" t="s">
        <v>538</v>
      </c>
    </row>
    <row r="13" spans="2:5">
      <c r="B13" s="5" t="s">
        <v>444</v>
      </c>
      <c r="C13" s="14">
        <f>PREMISSAS!C95</f>
        <v>150000</v>
      </c>
      <c r="D13" s="20">
        <f t="shared" si="0"/>
        <v>2.728264823572208E-2</v>
      </c>
      <c r="E13" s="8" t="s">
        <v>539</v>
      </c>
    </row>
    <row r="14" spans="2:5">
      <c r="B14" s="5" t="s">
        <v>540</v>
      </c>
      <c r="C14" s="14">
        <f>PREMISSAS!C96</f>
        <v>100000</v>
      </c>
      <c r="D14" s="20">
        <f t="shared" si="0"/>
        <v>1.8188432157148052E-2</v>
      </c>
      <c r="E14" s="8" t="s">
        <v>541</v>
      </c>
    </row>
    <row r="15" spans="2:5">
      <c r="B15" s="5" t="s">
        <v>446</v>
      </c>
      <c r="C15" s="14">
        <f>PREMISSAS!C97</f>
        <v>741000</v>
      </c>
      <c r="D15" s="20">
        <f t="shared" si="0"/>
        <v>0.13477628228446709</v>
      </c>
      <c r="E15" s="8" t="s">
        <v>542</v>
      </c>
    </row>
    <row r="16" spans="2:5">
      <c r="B16" s="18" t="s">
        <v>6</v>
      </c>
      <c r="C16" s="19">
        <f>SUM(C3:C15)</f>
        <v>5498000</v>
      </c>
      <c r="D16" s="18"/>
      <c r="E16" s="18"/>
    </row>
    <row r="18" spans="2:25">
      <c r="B18" s="4" t="s">
        <v>543</v>
      </c>
      <c r="E18" s="39" t="s">
        <v>544</v>
      </c>
    </row>
    <row r="19" spans="2:25">
      <c r="B19" s="5" t="s">
        <v>545</v>
      </c>
      <c r="C19" s="17">
        <f>C3+C4+C5+C6+C7+C8+C9+C10+C11</f>
        <v>4462000</v>
      </c>
      <c r="D19" s="20">
        <f>IF($C$16&gt;0,C19/$C$16,0)</f>
        <v>0.81156784285194616</v>
      </c>
    </row>
    <row r="21" spans="2:25">
      <c r="E21" s="36">
        <v>2026</v>
      </c>
      <c r="F21" s="36">
        <v>2027</v>
      </c>
      <c r="G21" s="36">
        <v>2028</v>
      </c>
      <c r="H21" s="36">
        <v>2029</v>
      </c>
      <c r="I21" s="36">
        <v>2030</v>
      </c>
      <c r="J21" s="36">
        <v>2031</v>
      </c>
      <c r="K21" s="36">
        <v>2032</v>
      </c>
      <c r="L21" s="36">
        <v>2033</v>
      </c>
      <c r="M21" s="36">
        <v>2034</v>
      </c>
      <c r="N21" s="36">
        <v>2035</v>
      </c>
      <c r="O21" s="36">
        <v>2036</v>
      </c>
      <c r="P21" s="36">
        <v>2037</v>
      </c>
      <c r="Q21" s="36">
        <v>2038</v>
      </c>
      <c r="R21" s="36">
        <v>2039</v>
      </c>
      <c r="S21" s="36">
        <v>2040</v>
      </c>
      <c r="T21" s="36">
        <v>2041</v>
      </c>
      <c r="U21" s="36">
        <v>2042</v>
      </c>
      <c r="V21" s="36">
        <v>2043</v>
      </c>
      <c r="W21" s="36">
        <v>2044</v>
      </c>
      <c r="X21" s="36">
        <v>2045</v>
      </c>
      <c r="Y21" s="36">
        <v>2046</v>
      </c>
    </row>
    <row r="22" spans="2:25">
      <c r="B22" s="5" t="s">
        <v>546</v>
      </c>
      <c r="C22" s="17">
        <f>IF(PREMISSAS!C100&gt;0,C19/PREMISSAS!C100,0)</f>
        <v>223100</v>
      </c>
      <c r="E22" s="37">
        <f>IF(AND(2026&gt;=PREMISSAS!$C$104,2026&lt;PREMISSAS!$C$104+PREMISSAS!$C$100),IF(PREMISSAS!$C$100&gt;0,$C$19/PREMISSAS!$C$100,0),0)</f>
        <v>0</v>
      </c>
      <c r="F22" s="37">
        <f>IF(AND(2027&gt;=PREMISSAS!$C$104,2027&lt;PREMISSAS!$C$104+PREMISSAS!$C$100),IF(PREMISSAS!$C$100&gt;0,$C$19/PREMISSAS!$C$100,0),0)</f>
        <v>223100</v>
      </c>
      <c r="G22" s="37">
        <f>IF(AND(2028&gt;=PREMISSAS!$C$104,2028&lt;PREMISSAS!$C$104+PREMISSAS!$C$100),IF(PREMISSAS!$C$100&gt;0,$C$19/PREMISSAS!$C$100,0),0)</f>
        <v>223100</v>
      </c>
      <c r="H22" s="37">
        <f>IF(AND(2029&gt;=PREMISSAS!$C$104,2029&lt;PREMISSAS!$C$104+PREMISSAS!$C$100),IF(PREMISSAS!$C$100&gt;0,$C$19/PREMISSAS!$C$100,0),0)</f>
        <v>223100</v>
      </c>
      <c r="I22" s="37">
        <f>IF(AND(2030&gt;=PREMISSAS!$C$104,2030&lt;PREMISSAS!$C$104+PREMISSAS!$C$100),IF(PREMISSAS!$C$100&gt;0,$C$19/PREMISSAS!$C$100,0),0)</f>
        <v>223100</v>
      </c>
      <c r="J22" s="37">
        <f>IF(AND(2031&gt;=PREMISSAS!$C$104,2031&lt;PREMISSAS!$C$104+PREMISSAS!$C$100),IF(PREMISSAS!$C$100&gt;0,$C$19/PREMISSAS!$C$100,0),0)</f>
        <v>223100</v>
      </c>
      <c r="K22" s="37">
        <f>IF(AND(2032&gt;=PREMISSAS!$C$104,2032&lt;PREMISSAS!$C$104+PREMISSAS!$C$100),IF(PREMISSAS!$C$100&gt;0,$C$19/PREMISSAS!$C$100,0),0)</f>
        <v>223100</v>
      </c>
      <c r="L22" s="37">
        <f>IF(AND(2033&gt;=PREMISSAS!$C$104,2033&lt;PREMISSAS!$C$104+PREMISSAS!$C$100),IF(PREMISSAS!$C$100&gt;0,$C$19/PREMISSAS!$C$100,0),0)</f>
        <v>223100</v>
      </c>
      <c r="M22" s="37">
        <f>IF(AND(2034&gt;=PREMISSAS!$C$104,2034&lt;PREMISSAS!$C$104+PREMISSAS!$C$100),IF(PREMISSAS!$C$100&gt;0,$C$19/PREMISSAS!$C$100,0),0)</f>
        <v>223100</v>
      </c>
      <c r="N22" s="37">
        <f>IF(AND(2035&gt;=PREMISSAS!$C$104,2035&lt;PREMISSAS!$C$104+PREMISSAS!$C$100),IF(PREMISSAS!$C$100&gt;0,$C$19/PREMISSAS!$C$100,0),0)</f>
        <v>223100</v>
      </c>
      <c r="O22" s="37">
        <f>IF(AND(2036&gt;=PREMISSAS!$C$104,2036&lt;PREMISSAS!$C$104+PREMISSAS!$C$100),IF(PREMISSAS!$C$100&gt;0,$C$19/PREMISSAS!$C$100,0),0)</f>
        <v>223100</v>
      </c>
      <c r="P22" s="37">
        <f>IF(AND(2037&gt;=PREMISSAS!$C$104,2037&lt;PREMISSAS!$C$104+PREMISSAS!$C$100),IF(PREMISSAS!$C$100&gt;0,$C$19/PREMISSAS!$C$100,0),0)</f>
        <v>223100</v>
      </c>
      <c r="Q22" s="37">
        <f>IF(AND(2038&gt;=PREMISSAS!$C$104,2038&lt;PREMISSAS!$C$104+PREMISSAS!$C$100),IF(PREMISSAS!$C$100&gt;0,$C$19/PREMISSAS!$C$100,0),0)</f>
        <v>223100</v>
      </c>
      <c r="R22" s="37">
        <f>IF(AND(2039&gt;=PREMISSAS!$C$104,2039&lt;PREMISSAS!$C$104+PREMISSAS!$C$100),IF(PREMISSAS!$C$100&gt;0,$C$19/PREMISSAS!$C$100,0),0)</f>
        <v>223100</v>
      </c>
      <c r="S22" s="37">
        <f>IF(AND(2040&gt;=PREMISSAS!$C$104,2040&lt;PREMISSAS!$C$104+PREMISSAS!$C$100),IF(PREMISSAS!$C$100&gt;0,$C$19/PREMISSAS!$C$100,0),0)</f>
        <v>223100</v>
      </c>
      <c r="T22" s="37">
        <f>IF(AND(2041&gt;=PREMISSAS!$C$104,2041&lt;PREMISSAS!$C$104+PREMISSAS!$C$100),IF(PREMISSAS!$C$100&gt;0,$C$19/PREMISSAS!$C$100,0),0)</f>
        <v>223100</v>
      </c>
      <c r="U22" s="37">
        <f>IF(AND(2042&gt;=PREMISSAS!$C$104,2042&lt;PREMISSAS!$C$104+PREMISSAS!$C$100),IF(PREMISSAS!$C$100&gt;0,$C$19/PREMISSAS!$C$100,0),0)</f>
        <v>223100</v>
      </c>
      <c r="V22" s="37">
        <f>IF(AND(2043&gt;=PREMISSAS!$C$104,2043&lt;PREMISSAS!$C$104+PREMISSAS!$C$100),IF(PREMISSAS!$C$100&gt;0,$C$19/PREMISSAS!$C$100,0),0)</f>
        <v>223100</v>
      </c>
      <c r="W22" s="37">
        <f>IF(AND(2044&gt;=PREMISSAS!$C$104,2044&lt;PREMISSAS!$C$104+PREMISSAS!$C$100),IF(PREMISSAS!$C$100&gt;0,$C$19/PREMISSAS!$C$100,0),0)</f>
        <v>223100</v>
      </c>
      <c r="X22" s="37">
        <f>IF(AND(2045&gt;=PREMISSAS!$C$104,2045&lt;PREMISSAS!$C$104+PREMISSAS!$C$100),IF(PREMISSAS!$C$100&gt;0,$C$19/PREMISSAS!$C$100,0),0)</f>
        <v>223100</v>
      </c>
      <c r="Y22" s="37">
        <f>IF(AND(2046&gt;=PREMISSAS!$C$104,2046&lt;PREMISSAS!$C$104+PREMISSAS!$C$100),IF(PREMISSAS!$C$100&gt;0,$C$19/PREMISSAS!$C$100,0),0)</f>
        <v>223100</v>
      </c>
    </row>
    <row r="24" spans="2:25">
      <c r="B24" s="18" t="s">
        <v>547</v>
      </c>
      <c r="C24" s="19">
        <f>C22</f>
        <v>223100</v>
      </c>
      <c r="D24" s="18"/>
      <c r="E24" s="19">
        <f t="shared" ref="E24:Y24" si="1">E22</f>
        <v>0</v>
      </c>
      <c r="F24" s="37">
        <f t="shared" si="1"/>
        <v>223100</v>
      </c>
      <c r="G24" s="37">
        <f t="shared" si="1"/>
        <v>223100</v>
      </c>
      <c r="H24" s="37">
        <f t="shared" si="1"/>
        <v>223100</v>
      </c>
      <c r="I24" s="37">
        <f t="shared" si="1"/>
        <v>223100</v>
      </c>
      <c r="J24" s="37">
        <f t="shared" si="1"/>
        <v>223100</v>
      </c>
      <c r="K24" s="37">
        <f t="shared" si="1"/>
        <v>223100</v>
      </c>
      <c r="L24" s="37">
        <f t="shared" si="1"/>
        <v>223100</v>
      </c>
      <c r="M24" s="37">
        <f t="shared" si="1"/>
        <v>223100</v>
      </c>
      <c r="N24" s="37">
        <f t="shared" si="1"/>
        <v>223100</v>
      </c>
      <c r="O24" s="37">
        <f t="shared" si="1"/>
        <v>223100</v>
      </c>
      <c r="P24" s="37">
        <f t="shared" si="1"/>
        <v>223100</v>
      </c>
      <c r="Q24" s="37">
        <f t="shared" si="1"/>
        <v>223100</v>
      </c>
      <c r="R24" s="37">
        <f t="shared" si="1"/>
        <v>223100</v>
      </c>
      <c r="S24" s="37">
        <f t="shared" si="1"/>
        <v>223100</v>
      </c>
      <c r="T24" s="37">
        <f t="shared" si="1"/>
        <v>223100</v>
      </c>
      <c r="U24" s="37">
        <f t="shared" si="1"/>
        <v>223100</v>
      </c>
      <c r="V24" s="37">
        <f t="shared" si="1"/>
        <v>223100</v>
      </c>
      <c r="W24" s="37">
        <f t="shared" si="1"/>
        <v>223100</v>
      </c>
      <c r="X24" s="37">
        <f t="shared" si="1"/>
        <v>223100</v>
      </c>
      <c r="Y24" s="37">
        <f t="shared" si="1"/>
        <v>223100</v>
      </c>
    </row>
    <row r="26" spans="2:25">
      <c r="B26" s="5" t="s">
        <v>548</v>
      </c>
      <c r="C26" s="21">
        <f>PREMISSAS!C100</f>
        <v>20</v>
      </c>
      <c r="D26" s="13" t="s">
        <v>449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8000"/>
  </sheetPr>
  <dimension ref="B1:Y7"/>
  <sheetViews>
    <sheetView zoomScaleNormal="100" workbookViewId="0">
      <selection activeCell="F3" sqref="F3"/>
    </sheetView>
  </sheetViews>
  <sheetFormatPr defaultColWidth="8.7109375" defaultRowHeight="15"/>
  <cols>
    <col min="1" max="1" width="3" customWidth="1"/>
    <col min="2" max="2" width="48" customWidth="1"/>
    <col min="3" max="3" width="18" customWidth="1"/>
    <col min="4" max="4" width="22" customWidth="1"/>
    <col min="5" max="25" width="16" customWidth="1"/>
  </cols>
  <sheetData>
    <row r="1" spans="2:25" ht="15.75" customHeight="1">
      <c r="B1" s="12" t="s">
        <v>549</v>
      </c>
    </row>
    <row r="2" spans="2:25">
      <c r="B2" s="15" t="s">
        <v>550</v>
      </c>
      <c r="C2" s="15" t="s">
        <v>551</v>
      </c>
      <c r="D2" s="15" t="s">
        <v>494</v>
      </c>
      <c r="E2" s="15" t="s">
        <v>495</v>
      </c>
      <c r="F2" s="15" t="s">
        <v>496</v>
      </c>
      <c r="G2" s="15" t="s">
        <v>497</v>
      </c>
      <c r="H2" s="15" t="s">
        <v>498</v>
      </c>
      <c r="I2" s="15" t="s">
        <v>499</v>
      </c>
      <c r="J2" s="15" t="s">
        <v>500</v>
      </c>
      <c r="K2" s="15" t="s">
        <v>501</v>
      </c>
      <c r="L2" s="15" t="s">
        <v>502</v>
      </c>
      <c r="M2" s="15" t="s">
        <v>503</v>
      </c>
      <c r="N2" s="15" t="s">
        <v>504</v>
      </c>
      <c r="O2" s="15" t="s">
        <v>505</v>
      </c>
      <c r="P2" s="15" t="s">
        <v>506</v>
      </c>
      <c r="Q2" s="15" t="s">
        <v>507</v>
      </c>
      <c r="R2" s="15" t="s">
        <v>508</v>
      </c>
      <c r="S2" s="15" t="s">
        <v>509</v>
      </c>
      <c r="T2" s="15" t="s">
        <v>510</v>
      </c>
      <c r="U2" s="15" t="s">
        <v>511</v>
      </c>
      <c r="V2" s="15" t="s">
        <v>512</v>
      </c>
      <c r="W2" s="15" t="s">
        <v>513</v>
      </c>
      <c r="X2" s="15" t="s">
        <v>514</v>
      </c>
      <c r="Y2" s="15" t="s">
        <v>515</v>
      </c>
    </row>
    <row r="3" spans="2:25">
      <c r="B3" s="5" t="s">
        <v>552</v>
      </c>
      <c r="C3" s="8" t="s">
        <v>553</v>
      </c>
      <c r="D3" s="8" t="s">
        <v>554</v>
      </c>
      <c r="E3" s="17">
        <v>0</v>
      </c>
      <c r="F3" s="17">
        <f>CÁLCULO!F8*PREMISSAS!$C$30*PREMISSAS!$C$31</f>
        <v>2897370.4800660484</v>
      </c>
      <c r="G3" s="17">
        <f>CÁLCULO!G8*PREMISSAS!$C$30*PREMISSAS!$C$31</f>
        <v>2897370.4800660484</v>
      </c>
      <c r="H3" s="17">
        <f>CÁLCULO!H8*PREMISSAS!$C$30*PREMISSAS!$C$31</f>
        <v>2897370.4800660484</v>
      </c>
      <c r="I3" s="17">
        <f>CÁLCULO!I8*PREMISSAS!$C$30*PREMISSAS!$C$31</f>
        <v>2897370.4800660484</v>
      </c>
      <c r="J3" s="17">
        <f>CÁLCULO!J8*PREMISSAS!$C$30*PREMISSAS!$C$31</f>
        <v>2897370.4800660484</v>
      </c>
      <c r="K3" s="17">
        <f>CÁLCULO!K8*PREMISSAS!$C$30*PREMISSAS!$C$31</f>
        <v>2897370.4800660484</v>
      </c>
      <c r="L3" s="17">
        <f>CÁLCULO!L8*PREMISSAS!$C$30*PREMISSAS!$C$31</f>
        <v>2897370.4800660484</v>
      </c>
      <c r="M3" s="17">
        <f>CÁLCULO!M8*PREMISSAS!$C$30*PREMISSAS!$C$31</f>
        <v>2897370.4800660484</v>
      </c>
      <c r="N3" s="17">
        <f>CÁLCULO!N8*PREMISSAS!$C$30*PREMISSAS!$C$31</f>
        <v>2897370.4800660484</v>
      </c>
      <c r="O3" s="17">
        <f>CÁLCULO!O8*PREMISSAS!$C$30*PREMISSAS!$C$31</f>
        <v>2897370.4800660484</v>
      </c>
      <c r="P3" s="17">
        <f>CÁLCULO!P8*PREMISSAS!$C$30*PREMISSAS!$C$31</f>
        <v>2897370.4800660484</v>
      </c>
      <c r="Q3" s="17">
        <f>CÁLCULO!Q8*PREMISSAS!$C$30*PREMISSAS!$C$31</f>
        <v>2897370.4800660484</v>
      </c>
      <c r="R3" s="17">
        <f>CÁLCULO!R8*PREMISSAS!$C$30*PREMISSAS!$C$31</f>
        <v>2897370.4800660484</v>
      </c>
      <c r="S3" s="17">
        <f>CÁLCULO!S8*PREMISSAS!$C$30*PREMISSAS!$C$31</f>
        <v>2897370.4800660484</v>
      </c>
      <c r="T3" s="17">
        <f>CÁLCULO!T8*PREMISSAS!$C$30*PREMISSAS!$C$31</f>
        <v>2897370.4800660484</v>
      </c>
      <c r="U3" s="17">
        <f>CÁLCULO!U8*PREMISSAS!$C$30*PREMISSAS!$C$31</f>
        <v>2897370.4800660484</v>
      </c>
      <c r="V3" s="17">
        <f>CÁLCULO!V8*PREMISSAS!$C$30*PREMISSAS!$C$31</f>
        <v>2897370.4800660484</v>
      </c>
      <c r="W3" s="17">
        <f>CÁLCULO!W8*PREMISSAS!$C$30*PREMISSAS!$C$31</f>
        <v>2897370.4800660484</v>
      </c>
      <c r="X3" s="17">
        <f>CÁLCULO!X8*PREMISSAS!$C$30*PREMISSAS!$C$31</f>
        <v>2897370.4800660484</v>
      </c>
      <c r="Y3" s="17">
        <f>CÁLCULO!Y8*PREMISSAS!$C$30*PREMISSAS!$C$31</f>
        <v>2897370.4800660484</v>
      </c>
    </row>
    <row r="4" spans="2:25">
      <c r="B4" s="5" t="s">
        <v>555</v>
      </c>
      <c r="C4" s="8" t="s">
        <v>556</v>
      </c>
      <c r="D4" s="8" t="s">
        <v>557</v>
      </c>
      <c r="E4" s="17">
        <v>0</v>
      </c>
      <c r="F4" s="17">
        <f>PREMISSAS!$C$33*CÁLCULO!F5*PREMISSAS!$C$32</f>
        <v>0</v>
      </c>
      <c r="G4" s="17">
        <f>PREMISSAS!$C$33*CÁLCULO!G5*PREMISSAS!$C$32</f>
        <v>0</v>
      </c>
      <c r="H4" s="17">
        <f>PREMISSAS!$C$33*CÁLCULO!H5*PREMISSAS!$C$32</f>
        <v>0</v>
      </c>
      <c r="I4" s="17">
        <f>PREMISSAS!$C$33*CÁLCULO!I5*PREMISSAS!$C$32</f>
        <v>0</v>
      </c>
      <c r="J4" s="17">
        <f>PREMISSAS!$C$33*CÁLCULO!J5*PREMISSAS!$C$32</f>
        <v>0</v>
      </c>
      <c r="K4" s="17">
        <f>PREMISSAS!$C$33*CÁLCULO!K5*PREMISSAS!$C$32</f>
        <v>0</v>
      </c>
      <c r="L4" s="17">
        <f>PREMISSAS!$C$33*CÁLCULO!L5*PREMISSAS!$C$32</f>
        <v>0</v>
      </c>
      <c r="M4" s="17">
        <f>PREMISSAS!$C$33*CÁLCULO!M5*PREMISSAS!$C$32</f>
        <v>0</v>
      </c>
      <c r="N4" s="17">
        <f>PREMISSAS!$C$33*CÁLCULO!N5*PREMISSAS!$C$32</f>
        <v>0</v>
      </c>
      <c r="O4" s="17">
        <f>PREMISSAS!$C$33*CÁLCULO!O5*PREMISSAS!$C$32</f>
        <v>0</v>
      </c>
      <c r="P4" s="17">
        <f>PREMISSAS!$C$33*CÁLCULO!P5*PREMISSAS!$C$32</f>
        <v>0</v>
      </c>
      <c r="Q4" s="17">
        <f>PREMISSAS!$C$33*CÁLCULO!Q5*PREMISSAS!$C$32</f>
        <v>0</v>
      </c>
      <c r="R4" s="17">
        <f>PREMISSAS!$C$33*CÁLCULO!R5*PREMISSAS!$C$32</f>
        <v>0</v>
      </c>
      <c r="S4" s="17">
        <f>PREMISSAS!$C$33*CÁLCULO!S5*PREMISSAS!$C$32</f>
        <v>0</v>
      </c>
      <c r="T4" s="17">
        <f>PREMISSAS!$C$33*CÁLCULO!T5*PREMISSAS!$C$32</f>
        <v>0</v>
      </c>
      <c r="U4" s="17">
        <f>PREMISSAS!$C$33*CÁLCULO!U5*PREMISSAS!$C$32</f>
        <v>0</v>
      </c>
      <c r="V4" s="17">
        <f>PREMISSAS!$C$33*CÁLCULO!V5*PREMISSAS!$C$32</f>
        <v>0</v>
      </c>
      <c r="W4" s="17">
        <f>PREMISSAS!$C$33*CÁLCULO!W5*PREMISSAS!$C$32</f>
        <v>0</v>
      </c>
      <c r="X4" s="17">
        <f>PREMISSAS!$C$33*CÁLCULO!X5*PREMISSAS!$C$32</f>
        <v>0</v>
      </c>
      <c r="Y4" s="17">
        <f>PREMISSAS!$C$33*CÁLCULO!Y5*PREMISSAS!$C$32</f>
        <v>0</v>
      </c>
    </row>
    <row r="5" spans="2:25">
      <c r="B5" s="18" t="s">
        <v>558</v>
      </c>
      <c r="C5" s="18"/>
      <c r="D5" s="18" t="s">
        <v>559</v>
      </c>
      <c r="E5" s="19">
        <v>0</v>
      </c>
      <c r="F5" s="19">
        <f t="shared" ref="F5:Y5" si="0">F3+F4</f>
        <v>2897370.4800660484</v>
      </c>
      <c r="G5" s="19">
        <f t="shared" si="0"/>
        <v>2897370.4800660484</v>
      </c>
      <c r="H5" s="19">
        <f t="shared" si="0"/>
        <v>2897370.4800660484</v>
      </c>
      <c r="I5" s="19">
        <f t="shared" si="0"/>
        <v>2897370.4800660484</v>
      </c>
      <c r="J5" s="19">
        <f t="shared" si="0"/>
        <v>2897370.4800660484</v>
      </c>
      <c r="K5" s="19">
        <f t="shared" si="0"/>
        <v>2897370.4800660484</v>
      </c>
      <c r="L5" s="19">
        <f t="shared" si="0"/>
        <v>2897370.4800660484</v>
      </c>
      <c r="M5" s="19">
        <f t="shared" si="0"/>
        <v>2897370.4800660484</v>
      </c>
      <c r="N5" s="19">
        <f t="shared" si="0"/>
        <v>2897370.4800660484</v>
      </c>
      <c r="O5" s="19">
        <f t="shared" si="0"/>
        <v>2897370.4800660484</v>
      </c>
      <c r="P5" s="19">
        <f t="shared" si="0"/>
        <v>2897370.4800660484</v>
      </c>
      <c r="Q5" s="19">
        <f t="shared" si="0"/>
        <v>2897370.4800660484</v>
      </c>
      <c r="R5" s="19">
        <f t="shared" si="0"/>
        <v>2897370.4800660484</v>
      </c>
      <c r="S5" s="19">
        <f t="shared" si="0"/>
        <v>2897370.4800660484</v>
      </c>
      <c r="T5" s="19">
        <f t="shared" si="0"/>
        <v>2897370.4800660484</v>
      </c>
      <c r="U5" s="19">
        <f t="shared" si="0"/>
        <v>2897370.4800660484</v>
      </c>
      <c r="V5" s="19">
        <f t="shared" si="0"/>
        <v>2897370.4800660484</v>
      </c>
      <c r="W5" s="19">
        <f t="shared" si="0"/>
        <v>2897370.4800660484</v>
      </c>
      <c r="X5" s="19">
        <f t="shared" si="0"/>
        <v>2897370.4800660484</v>
      </c>
      <c r="Y5" s="19">
        <f t="shared" si="0"/>
        <v>2897370.4800660484</v>
      </c>
    </row>
    <row r="6" spans="2:25">
      <c r="B6" s="5" t="s">
        <v>560</v>
      </c>
      <c r="C6" s="8" t="s">
        <v>561</v>
      </c>
      <c r="D6" s="8" t="s">
        <v>562</v>
      </c>
      <c r="E6" s="17">
        <v>0</v>
      </c>
      <c r="F6" s="17">
        <f>-F5*PREMISSAS!$C$102</f>
        <v>0</v>
      </c>
      <c r="G6" s="17">
        <f>-G5*PREMISSAS!$C$102</f>
        <v>0</v>
      </c>
      <c r="H6" s="17">
        <f>-H5*PREMISSAS!$C$102</f>
        <v>0</v>
      </c>
      <c r="I6" s="17">
        <f>-I5*PREMISSAS!$C$102</f>
        <v>0</v>
      </c>
      <c r="J6" s="17">
        <f>-J5*PREMISSAS!$C$102</f>
        <v>0</v>
      </c>
      <c r="K6" s="17">
        <f>-K5*PREMISSAS!$C$102</f>
        <v>0</v>
      </c>
      <c r="L6" s="17">
        <f>-L5*PREMISSAS!$C$102</f>
        <v>0</v>
      </c>
      <c r="M6" s="17">
        <f>-M5*PREMISSAS!$C$102</f>
        <v>0</v>
      </c>
      <c r="N6" s="17">
        <f>-N5*PREMISSAS!$C$102</f>
        <v>0</v>
      </c>
      <c r="O6" s="17">
        <f>-O5*PREMISSAS!$C$102</f>
        <v>0</v>
      </c>
      <c r="P6" s="17">
        <f>-P5*PREMISSAS!$C$102</f>
        <v>0</v>
      </c>
      <c r="Q6" s="17">
        <f>-Q5*PREMISSAS!$C$102</f>
        <v>0</v>
      </c>
      <c r="R6" s="17">
        <f>-R5*PREMISSAS!$C$102</f>
        <v>0</v>
      </c>
      <c r="S6" s="17">
        <f>-S5*PREMISSAS!$C$102</f>
        <v>0</v>
      </c>
      <c r="T6" s="17">
        <f>-T5*PREMISSAS!$C$102</f>
        <v>0</v>
      </c>
      <c r="U6" s="17">
        <f>-U5*PREMISSAS!$C$102</f>
        <v>0</v>
      </c>
      <c r="V6" s="17">
        <f>-V5*PREMISSAS!$C$102</f>
        <v>0</v>
      </c>
      <c r="W6" s="17">
        <f>-W5*PREMISSAS!$C$102</f>
        <v>0</v>
      </c>
      <c r="X6" s="17">
        <f>-X5*PREMISSAS!$C$102</f>
        <v>0</v>
      </c>
      <c r="Y6" s="17">
        <f>-Y5*PREMISSAS!$C$102</f>
        <v>0</v>
      </c>
    </row>
    <row r="7" spans="2:25">
      <c r="B7" s="38" t="s">
        <v>563</v>
      </c>
      <c r="C7" s="18"/>
      <c r="D7" s="18" t="s">
        <v>564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80"/>
  </sheetPr>
  <dimension ref="A1:Y29"/>
  <sheetViews>
    <sheetView topLeftCell="A10" workbookViewId="0"/>
  </sheetViews>
  <sheetFormatPr defaultColWidth="8.7109375" defaultRowHeight="15"/>
  <cols>
    <col min="1" max="1" width="3" customWidth="1"/>
    <col min="2" max="2" width="48" customWidth="1"/>
    <col min="3" max="3" width="18" customWidth="1"/>
    <col min="4" max="4" width="22" customWidth="1"/>
    <col min="5" max="25" width="16" customWidth="1"/>
  </cols>
  <sheetData>
    <row r="1" spans="1:25" ht="15.75" customHeight="1">
      <c r="B1" s="12" t="s">
        <v>565</v>
      </c>
    </row>
    <row r="2" spans="1:25">
      <c r="A2" t="s">
        <v>566</v>
      </c>
      <c r="B2" s="8" t="s">
        <v>567</v>
      </c>
    </row>
    <row r="3" spans="1:25">
      <c r="B3" s="15" t="s">
        <v>568</v>
      </c>
      <c r="C3" s="15" t="s">
        <v>569</v>
      </c>
      <c r="D3" s="15" t="s">
        <v>570</v>
      </c>
      <c r="E3" s="15" t="s">
        <v>495</v>
      </c>
      <c r="F3" s="15" t="s">
        <v>496</v>
      </c>
      <c r="G3" s="15" t="s">
        <v>497</v>
      </c>
      <c r="H3" s="15" t="s">
        <v>498</v>
      </c>
      <c r="I3" s="15" t="s">
        <v>499</v>
      </c>
      <c r="J3" s="15" t="s">
        <v>500</v>
      </c>
      <c r="K3" s="15" t="s">
        <v>501</v>
      </c>
      <c r="L3" s="15" t="s">
        <v>502</v>
      </c>
      <c r="M3" s="15" t="s">
        <v>503</v>
      </c>
      <c r="N3" s="15" t="s">
        <v>504</v>
      </c>
      <c r="O3" s="15" t="s">
        <v>505</v>
      </c>
      <c r="P3" s="15" t="s">
        <v>506</v>
      </c>
      <c r="Q3" s="15" t="s">
        <v>507</v>
      </c>
      <c r="R3" s="15" t="s">
        <v>508</v>
      </c>
      <c r="S3" s="15" t="s">
        <v>509</v>
      </c>
      <c r="T3" s="15" t="s">
        <v>510</v>
      </c>
      <c r="U3" s="15" t="s">
        <v>511</v>
      </c>
      <c r="V3" s="15" t="s">
        <v>512</v>
      </c>
      <c r="W3" s="15" t="s">
        <v>513</v>
      </c>
      <c r="X3" s="15" t="s">
        <v>514</v>
      </c>
      <c r="Y3" s="15" t="s">
        <v>515</v>
      </c>
    </row>
    <row r="4" spans="1:25">
      <c r="B4" s="5" t="s">
        <v>571</v>
      </c>
      <c r="C4" s="8" t="s">
        <v>64</v>
      </c>
      <c r="D4" s="8" t="s">
        <v>572</v>
      </c>
      <c r="E4" s="17">
        <f>RECEITA!E3</f>
        <v>0</v>
      </c>
      <c r="F4" s="17">
        <f>RECEITA!F3</f>
        <v>2897370.4800660484</v>
      </c>
      <c r="G4" s="17">
        <f>RECEITA!G3</f>
        <v>2897370.4800660484</v>
      </c>
      <c r="H4" s="17">
        <f>RECEITA!H3</f>
        <v>2897370.4800660484</v>
      </c>
      <c r="I4" s="17">
        <f>RECEITA!I3</f>
        <v>2897370.4800660484</v>
      </c>
      <c r="J4" s="17">
        <f>RECEITA!J3</f>
        <v>2897370.4800660484</v>
      </c>
      <c r="K4" s="17">
        <f>RECEITA!K3</f>
        <v>2897370.4800660484</v>
      </c>
      <c r="L4" s="17">
        <f>RECEITA!L3</f>
        <v>2897370.4800660484</v>
      </c>
      <c r="M4" s="17">
        <f>RECEITA!M3</f>
        <v>2897370.4800660484</v>
      </c>
      <c r="N4" s="17">
        <f>RECEITA!N3</f>
        <v>2897370.4800660484</v>
      </c>
      <c r="O4" s="17">
        <f>RECEITA!O3</f>
        <v>2897370.4800660484</v>
      </c>
      <c r="P4" s="17">
        <f>RECEITA!P3</f>
        <v>2897370.4800660484</v>
      </c>
      <c r="Q4" s="17">
        <f>RECEITA!Q3</f>
        <v>2897370.4800660484</v>
      </c>
      <c r="R4" s="17">
        <f>RECEITA!R3</f>
        <v>2897370.4800660484</v>
      </c>
      <c r="S4" s="17">
        <f>RECEITA!S3</f>
        <v>2897370.4800660484</v>
      </c>
      <c r="T4" s="17">
        <f>RECEITA!T3</f>
        <v>2897370.4800660484</v>
      </c>
      <c r="U4" s="17">
        <f>RECEITA!U3</f>
        <v>2897370.4800660484</v>
      </c>
      <c r="V4" s="17">
        <f>RECEITA!V3</f>
        <v>2897370.4800660484</v>
      </c>
      <c r="W4" s="17">
        <f>RECEITA!W3</f>
        <v>2897370.4800660484</v>
      </c>
      <c r="X4" s="17">
        <f>RECEITA!X3</f>
        <v>2897370.4800660484</v>
      </c>
      <c r="Y4" s="17">
        <f>RECEITA!Y3</f>
        <v>2897370.4800660484</v>
      </c>
    </row>
    <row r="5" spans="1:25">
      <c r="B5" s="5" t="s">
        <v>573</v>
      </c>
      <c r="C5" s="8" t="s">
        <v>64</v>
      </c>
      <c r="D5" s="8" t="s">
        <v>574</v>
      </c>
      <c r="E5" s="17">
        <f>RECEITA!E4</f>
        <v>0</v>
      </c>
      <c r="F5" s="17">
        <f>RECEITA!F4</f>
        <v>0</v>
      </c>
      <c r="G5" s="17">
        <f>RECEITA!G4</f>
        <v>0</v>
      </c>
      <c r="H5" s="17">
        <f>RECEITA!H4</f>
        <v>0</v>
      </c>
      <c r="I5" s="17">
        <f>RECEITA!I4</f>
        <v>0</v>
      </c>
      <c r="J5" s="17">
        <f>RECEITA!J4</f>
        <v>0</v>
      </c>
      <c r="K5" s="17">
        <f>RECEITA!K4</f>
        <v>0</v>
      </c>
      <c r="L5" s="17">
        <f>RECEITA!L4</f>
        <v>0</v>
      </c>
      <c r="M5" s="17">
        <f>RECEITA!M4</f>
        <v>0</v>
      </c>
      <c r="N5" s="17">
        <f>RECEITA!N4</f>
        <v>0</v>
      </c>
      <c r="O5" s="17">
        <f>RECEITA!O4</f>
        <v>0</v>
      </c>
      <c r="P5" s="17">
        <f>RECEITA!P4</f>
        <v>0</v>
      </c>
      <c r="Q5" s="17">
        <f>RECEITA!Q4</f>
        <v>0</v>
      </c>
      <c r="R5" s="17">
        <f>RECEITA!R4</f>
        <v>0</v>
      </c>
      <c r="S5" s="17">
        <f>RECEITA!S4</f>
        <v>0</v>
      </c>
      <c r="T5" s="17">
        <f>RECEITA!T4</f>
        <v>0</v>
      </c>
      <c r="U5" s="17">
        <f>RECEITA!U4</f>
        <v>0</v>
      </c>
      <c r="V5" s="17">
        <f>RECEITA!V4</f>
        <v>0</v>
      </c>
      <c r="W5" s="17">
        <f>RECEITA!W4</f>
        <v>0</v>
      </c>
      <c r="X5" s="17">
        <f>RECEITA!X4</f>
        <v>0</v>
      </c>
      <c r="Y5" s="17">
        <f>RECEITA!Y4</f>
        <v>0</v>
      </c>
    </row>
    <row r="6" spans="1:25">
      <c r="B6" s="5" t="s">
        <v>575</v>
      </c>
      <c r="C6" s="8" t="s">
        <v>576</v>
      </c>
      <c r="D6" s="8" t="s">
        <v>577</v>
      </c>
      <c r="E6" s="17">
        <f t="shared" ref="E6:Y6" si="0">E4+E5</f>
        <v>0</v>
      </c>
      <c r="F6" s="17">
        <f t="shared" si="0"/>
        <v>2897370.4800660484</v>
      </c>
      <c r="G6" s="17">
        <f t="shared" si="0"/>
        <v>2897370.4800660484</v>
      </c>
      <c r="H6" s="17">
        <f t="shared" si="0"/>
        <v>2897370.4800660484</v>
      </c>
      <c r="I6" s="17">
        <f t="shared" si="0"/>
        <v>2897370.4800660484</v>
      </c>
      <c r="J6" s="17">
        <f t="shared" si="0"/>
        <v>2897370.4800660484</v>
      </c>
      <c r="K6" s="17">
        <f t="shared" si="0"/>
        <v>2897370.4800660484</v>
      </c>
      <c r="L6" s="17">
        <f t="shared" si="0"/>
        <v>2897370.4800660484</v>
      </c>
      <c r="M6" s="17">
        <f t="shared" si="0"/>
        <v>2897370.4800660484</v>
      </c>
      <c r="N6" s="17">
        <f t="shared" si="0"/>
        <v>2897370.4800660484</v>
      </c>
      <c r="O6" s="17">
        <f t="shared" si="0"/>
        <v>2897370.4800660484</v>
      </c>
      <c r="P6" s="17">
        <f t="shared" si="0"/>
        <v>2897370.4800660484</v>
      </c>
      <c r="Q6" s="17">
        <f t="shared" si="0"/>
        <v>2897370.4800660484</v>
      </c>
      <c r="R6" s="17">
        <f t="shared" si="0"/>
        <v>2897370.4800660484</v>
      </c>
      <c r="S6" s="17">
        <f t="shared" si="0"/>
        <v>2897370.4800660484</v>
      </c>
      <c r="T6" s="17">
        <f t="shared" si="0"/>
        <v>2897370.4800660484</v>
      </c>
      <c r="U6" s="17">
        <f t="shared" si="0"/>
        <v>2897370.4800660484</v>
      </c>
      <c r="V6" s="17">
        <f t="shared" si="0"/>
        <v>2897370.4800660484</v>
      </c>
      <c r="W6" s="17">
        <f t="shared" si="0"/>
        <v>2897370.4800660484</v>
      </c>
      <c r="X6" s="17">
        <f t="shared" si="0"/>
        <v>2897370.4800660484</v>
      </c>
      <c r="Y6" s="17">
        <f t="shared" si="0"/>
        <v>2897370.4800660484</v>
      </c>
    </row>
    <row r="7" spans="1:25">
      <c r="B7" s="5" t="s">
        <v>578</v>
      </c>
      <c r="C7" s="8" t="s">
        <v>56</v>
      </c>
      <c r="D7" s="8" t="s">
        <v>579</v>
      </c>
      <c r="E7" s="17">
        <f>E5*PREMISSAS!$C$111</f>
        <v>0</v>
      </c>
      <c r="F7" s="17">
        <f>F5*PREMISSAS!$C$111</f>
        <v>0</v>
      </c>
      <c r="G7" s="17">
        <f>G5*PREMISSAS!$C$111</f>
        <v>0</v>
      </c>
      <c r="H7" s="17">
        <f>H5*PREMISSAS!$C$111</f>
        <v>0</v>
      </c>
      <c r="I7" s="17">
        <f>I5*PREMISSAS!$C$111</f>
        <v>0</v>
      </c>
      <c r="J7" s="17">
        <f>J5*PREMISSAS!$C$111</f>
        <v>0</v>
      </c>
      <c r="K7" s="17">
        <f>K5*PREMISSAS!$C$111</f>
        <v>0</v>
      </c>
      <c r="L7" s="17">
        <f>L5*PREMISSAS!$C$111</f>
        <v>0</v>
      </c>
      <c r="M7" s="17">
        <f>M5*PREMISSAS!$C$111</f>
        <v>0</v>
      </c>
      <c r="N7" s="17">
        <f>N5*PREMISSAS!$C$111</f>
        <v>0</v>
      </c>
      <c r="O7" s="17">
        <f>O5*PREMISSAS!$C$111</f>
        <v>0</v>
      </c>
      <c r="P7" s="17">
        <f>P5*PREMISSAS!$C$111</f>
        <v>0</v>
      </c>
      <c r="Q7" s="17">
        <f>Q5*PREMISSAS!$C$111</f>
        <v>0</v>
      </c>
      <c r="R7" s="17">
        <f>R5*PREMISSAS!$C$111</f>
        <v>0</v>
      </c>
      <c r="S7" s="17">
        <f>S5*PREMISSAS!$C$111</f>
        <v>0</v>
      </c>
      <c r="T7" s="17">
        <f>T5*PREMISSAS!$C$111</f>
        <v>0</v>
      </c>
      <c r="U7" s="17">
        <f>U5*PREMISSAS!$C$111</f>
        <v>0</v>
      </c>
      <c r="V7" s="17">
        <f>V5*PREMISSAS!$C$111</f>
        <v>0</v>
      </c>
      <c r="W7" s="17">
        <f>W5*PREMISSAS!$C$111</f>
        <v>0</v>
      </c>
      <c r="X7" s="17">
        <f>X5*PREMISSAS!$C$111</f>
        <v>0</v>
      </c>
      <c r="Y7" s="17">
        <f>Y5*PREMISSAS!$C$111</f>
        <v>0</v>
      </c>
    </row>
    <row r="8" spans="1:25">
      <c r="B8" s="18" t="s">
        <v>580</v>
      </c>
      <c r="C8" s="18" t="s">
        <v>56</v>
      </c>
      <c r="D8" s="18" t="s">
        <v>579</v>
      </c>
      <c r="E8" s="19">
        <f>E5*PREMISSAS!$C$112</f>
        <v>0</v>
      </c>
      <c r="F8" s="19">
        <f>F5*PREMISSAS!$C$112</f>
        <v>0</v>
      </c>
      <c r="G8" s="19">
        <f>G5*PREMISSAS!$C$112</f>
        <v>0</v>
      </c>
      <c r="H8" s="19">
        <f>H5*PREMISSAS!$C$112</f>
        <v>0</v>
      </c>
      <c r="I8" s="19">
        <f>I5*PREMISSAS!$C$112</f>
        <v>0</v>
      </c>
      <c r="J8" s="19">
        <f>J5*PREMISSAS!$C$112</f>
        <v>0</v>
      </c>
      <c r="K8" s="19">
        <f>K5*PREMISSAS!$C$112</f>
        <v>0</v>
      </c>
      <c r="L8" s="19">
        <f>L5*PREMISSAS!$C$112</f>
        <v>0</v>
      </c>
      <c r="M8" s="19">
        <f>M5*PREMISSAS!$C$112</f>
        <v>0</v>
      </c>
      <c r="N8" s="19">
        <f>N5*PREMISSAS!$C$112</f>
        <v>0</v>
      </c>
      <c r="O8" s="19">
        <f>O5*PREMISSAS!$C$112</f>
        <v>0</v>
      </c>
      <c r="P8" s="19">
        <f>P5*PREMISSAS!$C$112</f>
        <v>0</v>
      </c>
      <c r="Q8" s="19">
        <f>Q5*PREMISSAS!$C$112</f>
        <v>0</v>
      </c>
      <c r="R8" s="19">
        <f>R5*PREMISSAS!$C$112</f>
        <v>0</v>
      </c>
      <c r="S8" s="19">
        <f>S5*PREMISSAS!$C$112</f>
        <v>0</v>
      </c>
      <c r="T8" s="19">
        <f>T5*PREMISSAS!$C$112</f>
        <v>0</v>
      </c>
      <c r="U8" s="19">
        <f>U5*PREMISSAS!$C$112</f>
        <v>0</v>
      </c>
      <c r="V8" s="19">
        <f>V5*PREMISSAS!$C$112</f>
        <v>0</v>
      </c>
      <c r="W8" s="19">
        <f>W5*PREMISSAS!$C$112</f>
        <v>0</v>
      </c>
      <c r="X8" s="19">
        <f>X5*PREMISSAS!$C$112</f>
        <v>0</v>
      </c>
      <c r="Y8" s="19">
        <f>Y5*PREMISSAS!$C$112</f>
        <v>0</v>
      </c>
    </row>
    <row r="9" spans="1:25">
      <c r="B9" s="16" t="s">
        <v>581</v>
      </c>
      <c r="C9" s="8" t="s">
        <v>56</v>
      </c>
      <c r="D9" s="8" t="s">
        <v>582</v>
      </c>
      <c r="E9" s="20">
        <v>0</v>
      </c>
      <c r="F9" s="20">
        <f>IF(OPEX!F22&gt;0,OPEX!F22*PREMISSAS!$C$113,0)</f>
        <v>0</v>
      </c>
      <c r="G9" s="20">
        <f>IF(OPEX!G22&gt;0,OPEX!G22*PREMISSAS!$C$113,0)</f>
        <v>0</v>
      </c>
      <c r="H9" s="20">
        <f>IF(OPEX!H22&gt;0,OPEX!H22*PREMISSAS!$C$113,0)</f>
        <v>0</v>
      </c>
      <c r="I9" s="20">
        <f>IF(OPEX!I22&gt;0,OPEX!I22*PREMISSAS!$C$113,0)</f>
        <v>0</v>
      </c>
      <c r="J9" s="20">
        <f>IF(OPEX!J22&gt;0,OPEX!J22*PREMISSAS!$C$113,0)</f>
        <v>0</v>
      </c>
      <c r="K9" s="20">
        <f>IF(OPEX!K22&gt;0,OPEX!K22*PREMISSAS!$C$113,0)</f>
        <v>0</v>
      </c>
      <c r="L9" s="20">
        <f>IF(OPEX!L22&gt;0,OPEX!L22*PREMISSAS!$C$113,0)</f>
        <v>0</v>
      </c>
      <c r="M9" s="20">
        <f>IF(OPEX!M22&gt;0,OPEX!M22*PREMISSAS!$C$113,0)</f>
        <v>0</v>
      </c>
      <c r="N9" s="20">
        <f>IF(OPEX!N22&gt;0,OPEX!N22*PREMISSAS!$C$113,0)</f>
        <v>0</v>
      </c>
      <c r="O9" s="20">
        <f>IF(OPEX!O22&gt;0,OPEX!O22*PREMISSAS!$C$113,0)</f>
        <v>0</v>
      </c>
      <c r="P9" s="20">
        <f>IF(OPEX!P22&gt;0,OPEX!P22*PREMISSAS!$C$113,0)</f>
        <v>0</v>
      </c>
      <c r="Q9" s="20">
        <f>IF(OPEX!Q22&gt;0,OPEX!Q22*PREMISSAS!$C$113,0)</f>
        <v>0</v>
      </c>
      <c r="R9" s="20">
        <f>IF(OPEX!R22&gt;0,OPEX!R22*PREMISSAS!$C$113,0)</f>
        <v>0</v>
      </c>
      <c r="S9" s="20">
        <f>IF(OPEX!S22&gt;0,OPEX!S22*PREMISSAS!$C$113,0)</f>
        <v>0</v>
      </c>
      <c r="T9" s="20">
        <f>IF(OPEX!T22&gt;0,OPEX!T22*PREMISSAS!$C$113,0)</f>
        <v>0</v>
      </c>
      <c r="U9" s="20">
        <f>IF(OPEX!U22&gt;0,OPEX!U22*PREMISSAS!$C$113,0)</f>
        <v>0</v>
      </c>
      <c r="V9" s="20">
        <f>IF(OPEX!V22&gt;0,OPEX!V22*PREMISSAS!$C$113,0)</f>
        <v>0</v>
      </c>
      <c r="W9" s="20">
        <f>IF(OPEX!W22&gt;0,OPEX!W22*PREMISSAS!$C$113,0)</f>
        <v>0</v>
      </c>
      <c r="X9" s="20">
        <f>IF(OPEX!X22&gt;0,OPEX!X22*PREMISSAS!$C$113,0)</f>
        <v>0</v>
      </c>
      <c r="Y9" s="20">
        <f>IF(OPEX!Y22&gt;0,OPEX!Y22*PREMISSAS!$C$113,0)</f>
        <v>0</v>
      </c>
    </row>
    <row r="10" spans="1:25">
      <c r="B10" s="5" t="s">
        <v>583</v>
      </c>
      <c r="C10" s="8" t="s">
        <v>576</v>
      </c>
      <c r="D10" s="8" t="s">
        <v>584</v>
      </c>
      <c r="E10" s="17">
        <f>E9*PREMISSAS!$C$111</f>
        <v>0</v>
      </c>
      <c r="F10" s="17">
        <f>F9*PREMISSAS!$C$111</f>
        <v>0</v>
      </c>
      <c r="G10" s="17">
        <f>G9*PREMISSAS!$C$111</f>
        <v>0</v>
      </c>
      <c r="H10" s="17">
        <f>H9*PREMISSAS!$C$111</f>
        <v>0</v>
      </c>
      <c r="I10" s="17">
        <f>I9*PREMISSAS!$C$111</f>
        <v>0</v>
      </c>
      <c r="J10" s="17">
        <f>J9*PREMISSAS!$C$111</f>
        <v>0</v>
      </c>
      <c r="K10" s="17">
        <f>K9*PREMISSAS!$C$111</f>
        <v>0</v>
      </c>
      <c r="L10" s="17">
        <f>L9*PREMISSAS!$C$111</f>
        <v>0</v>
      </c>
      <c r="M10" s="17">
        <f>M9*PREMISSAS!$C$111</f>
        <v>0</v>
      </c>
      <c r="N10" s="17">
        <f>N9*PREMISSAS!$C$111</f>
        <v>0</v>
      </c>
      <c r="O10" s="17">
        <f>O9*PREMISSAS!$C$111</f>
        <v>0</v>
      </c>
      <c r="P10" s="17">
        <f>P9*PREMISSAS!$C$111</f>
        <v>0</v>
      </c>
      <c r="Q10" s="17">
        <f>Q9*PREMISSAS!$C$111</f>
        <v>0</v>
      </c>
      <c r="R10" s="17">
        <f>R9*PREMISSAS!$C$111</f>
        <v>0</v>
      </c>
      <c r="S10" s="17">
        <f>S9*PREMISSAS!$C$111</f>
        <v>0</v>
      </c>
      <c r="T10" s="17">
        <f>T9*PREMISSAS!$C$111</f>
        <v>0</v>
      </c>
      <c r="U10" s="17">
        <f>U9*PREMISSAS!$C$111</f>
        <v>0</v>
      </c>
      <c r="V10" s="17">
        <f>V9*PREMISSAS!$C$111</f>
        <v>0</v>
      </c>
      <c r="W10" s="17">
        <f>W9*PREMISSAS!$C$111</f>
        <v>0</v>
      </c>
      <c r="X10" s="17">
        <f>X9*PREMISSAS!$C$111</f>
        <v>0</v>
      </c>
      <c r="Y10" s="17">
        <f>Y9*PREMISSAS!$C$111</f>
        <v>0</v>
      </c>
    </row>
    <row r="11" spans="1:25">
      <c r="B11" s="22" t="s">
        <v>585</v>
      </c>
      <c r="C11" s="8" t="s">
        <v>576</v>
      </c>
      <c r="D11" s="8" t="s">
        <v>586</v>
      </c>
      <c r="E11" s="17">
        <f>E9*PREMISSAS!$C$112</f>
        <v>0</v>
      </c>
      <c r="F11" s="17">
        <f>F9*PREMISSAS!$C$112</f>
        <v>0</v>
      </c>
      <c r="G11" s="17">
        <f>G9*PREMISSAS!$C$112</f>
        <v>0</v>
      </c>
      <c r="H11" s="17">
        <f>H9*PREMISSAS!$C$112</f>
        <v>0</v>
      </c>
      <c r="I11" s="17">
        <f>I9*PREMISSAS!$C$112</f>
        <v>0</v>
      </c>
      <c r="J11" s="17">
        <f>J9*PREMISSAS!$C$112</f>
        <v>0</v>
      </c>
      <c r="K11" s="17">
        <f>K9*PREMISSAS!$C$112</f>
        <v>0</v>
      </c>
      <c r="L11" s="17">
        <f>L9*PREMISSAS!$C$112</f>
        <v>0</v>
      </c>
      <c r="M11" s="17">
        <f>M9*PREMISSAS!$C$112</f>
        <v>0</v>
      </c>
      <c r="N11" s="17">
        <f>N9*PREMISSAS!$C$112</f>
        <v>0</v>
      </c>
      <c r="O11" s="17">
        <f>O9*PREMISSAS!$C$112</f>
        <v>0</v>
      </c>
      <c r="P11" s="17">
        <f>P9*PREMISSAS!$C$112</f>
        <v>0</v>
      </c>
      <c r="Q11" s="17">
        <f>Q9*PREMISSAS!$C$112</f>
        <v>0</v>
      </c>
      <c r="R11" s="17">
        <f>R9*PREMISSAS!$C$112</f>
        <v>0</v>
      </c>
      <c r="S11" s="17">
        <f>S9*PREMISSAS!$C$112</f>
        <v>0</v>
      </c>
      <c r="T11" s="17">
        <f>T9*PREMISSAS!$C$112</f>
        <v>0</v>
      </c>
      <c r="U11" s="17">
        <f>U9*PREMISSAS!$C$112</f>
        <v>0</v>
      </c>
      <c r="V11" s="17">
        <f>V9*PREMISSAS!$C$112</f>
        <v>0</v>
      </c>
      <c r="W11" s="17">
        <f>W9*PREMISSAS!$C$112</f>
        <v>0</v>
      </c>
      <c r="X11" s="17">
        <f>X9*PREMISSAS!$C$112</f>
        <v>0</v>
      </c>
      <c r="Y11" s="17">
        <f>Y9*PREMISSAS!$C$112</f>
        <v>0</v>
      </c>
    </row>
    <row r="12" spans="1:25">
      <c r="B12" s="5" t="s">
        <v>587</v>
      </c>
      <c r="C12" s="8" t="s">
        <v>588</v>
      </c>
      <c r="D12" s="8" t="s">
        <v>589</v>
      </c>
      <c r="E12" s="17">
        <f>MAX(E7+E8-E10-E11,0)+E4*(PREMISSAS!$C$109+PREMISSAS!$C$110)</f>
        <v>0</v>
      </c>
      <c r="F12" s="17">
        <f>MAX(F7+F8-F10-F11,0)+F4*(PREMISSAS!$C$109+PREMISSAS!$C$110)</f>
        <v>268006.76940610947</v>
      </c>
      <c r="G12" s="17">
        <f>MAX(G7+G8-G10-G11,0)+G4*(PREMISSAS!$C$109+PREMISSAS!$C$110)</f>
        <v>268006.76940610947</v>
      </c>
      <c r="H12" s="17">
        <f>MAX(H7+H8-H10-H11,0)+H4*(PREMISSAS!$C$109+PREMISSAS!$C$110)</f>
        <v>268006.76940610947</v>
      </c>
      <c r="I12" s="17">
        <f>MAX(I7+I8-I10-I11,0)+I4*(PREMISSAS!$C$109+PREMISSAS!$C$110)</f>
        <v>268006.76940610947</v>
      </c>
      <c r="J12" s="17">
        <f>MAX(J7+J8-J10-J11,0)+J4*(PREMISSAS!$C$109+PREMISSAS!$C$110)</f>
        <v>268006.76940610947</v>
      </c>
      <c r="K12" s="17">
        <f>MAX(K7+K8-K10-K11,0)+K4*(PREMISSAS!$C$109+PREMISSAS!$C$110)</f>
        <v>268006.76940610947</v>
      </c>
      <c r="L12" s="17">
        <f>MAX(L7+L8-L10-L11,0)+L4*(PREMISSAS!$C$109+PREMISSAS!$C$110)</f>
        <v>268006.76940610947</v>
      </c>
      <c r="M12" s="17">
        <f>MAX(M7+M8-M10-M11,0)+M4*(PREMISSAS!$C$109+PREMISSAS!$C$110)</f>
        <v>268006.76940610947</v>
      </c>
      <c r="N12" s="17">
        <f>MAX(N7+N8-N10-N11,0)+N4*(PREMISSAS!$C$109+PREMISSAS!$C$110)</f>
        <v>268006.76940610947</v>
      </c>
      <c r="O12" s="17">
        <f>MAX(O7+O8-O10-O11,0)+O4*(PREMISSAS!$C$109+PREMISSAS!$C$110)</f>
        <v>268006.76940610947</v>
      </c>
      <c r="P12" s="17">
        <f>MAX(P7+P8-P10-P11,0)+P4*(PREMISSAS!$C$109+PREMISSAS!$C$110)</f>
        <v>268006.76940610947</v>
      </c>
      <c r="Q12" s="17">
        <f>MAX(Q7+Q8-Q10-Q11,0)+Q4*(PREMISSAS!$C$109+PREMISSAS!$C$110)</f>
        <v>268006.76940610947</v>
      </c>
      <c r="R12" s="17">
        <f>MAX(R7+R8-R10-R11,0)+R4*(PREMISSAS!$C$109+PREMISSAS!$C$110)</f>
        <v>268006.76940610947</v>
      </c>
      <c r="S12" s="17">
        <f>MAX(S7+S8-S10-S11,0)+S4*(PREMISSAS!$C$109+PREMISSAS!$C$110)</f>
        <v>268006.76940610947</v>
      </c>
      <c r="T12" s="17">
        <f>MAX(T7+T8-T10-T11,0)+T4*(PREMISSAS!$C$109+PREMISSAS!$C$110)</f>
        <v>268006.76940610947</v>
      </c>
      <c r="U12" s="17">
        <f>MAX(U7+U8-U10-U11,0)+U4*(PREMISSAS!$C$109+PREMISSAS!$C$110)</f>
        <v>268006.76940610947</v>
      </c>
      <c r="V12" s="17">
        <f>MAX(V7+V8-V10-V11,0)+V4*(PREMISSAS!$C$109+PREMISSAS!$C$110)</f>
        <v>268006.76940610947</v>
      </c>
      <c r="W12" s="17">
        <f>MAX(W7+W8-W10-W11,0)+W4*(PREMISSAS!$C$109+PREMISSAS!$C$110)</f>
        <v>268006.76940610947</v>
      </c>
      <c r="X12" s="17">
        <f>MAX(X7+X8-X10-X11,0)+X4*(PREMISSAS!$C$109+PREMISSAS!$C$110)</f>
        <v>268006.76940610947</v>
      </c>
      <c r="Y12" s="17">
        <f>MAX(Y7+Y8-Y10-Y11,0)+Y4*(PREMISSAS!$C$109+PREMISSAS!$C$110)</f>
        <v>268006.76940610947</v>
      </c>
    </row>
    <row r="13" spans="1:25">
      <c r="B13" s="22" t="s">
        <v>590</v>
      </c>
      <c r="C13" s="8" t="s">
        <v>66</v>
      </c>
      <c r="D13" s="8" t="s">
        <v>591</v>
      </c>
      <c r="E13" s="17">
        <f>DRE_FCL!E11</f>
        <v>0</v>
      </c>
      <c r="F13" s="17">
        <f>DRE_FCL!F11</f>
        <v>939734.97322321776</v>
      </c>
      <c r="G13" s="17">
        <f>DRE_FCL!G11</f>
        <v>917634.97322321776</v>
      </c>
      <c r="H13" s="17">
        <f>DRE_FCL!H11</f>
        <v>895534.97322321776</v>
      </c>
      <c r="I13" s="17">
        <f>DRE_FCL!I11</f>
        <v>873434.97322321776</v>
      </c>
      <c r="J13" s="17">
        <f>DRE_FCL!J11</f>
        <v>851334.97322321776</v>
      </c>
      <c r="K13" s="17">
        <f>DRE_FCL!K11</f>
        <v>829234.97322321776</v>
      </c>
      <c r="L13" s="17">
        <f>DRE_FCL!L11</f>
        <v>807134.97322321776</v>
      </c>
      <c r="M13" s="17">
        <f>DRE_FCL!M11</f>
        <v>785034.97322321776</v>
      </c>
      <c r="N13" s="17">
        <f>DRE_FCL!N11</f>
        <v>762934.97322321776</v>
      </c>
      <c r="O13" s="17">
        <f>DRE_FCL!O11</f>
        <v>740834.97322321776</v>
      </c>
      <c r="P13" s="17">
        <f>DRE_FCL!P11</f>
        <v>740834.97322321776</v>
      </c>
      <c r="Q13" s="17">
        <f>DRE_FCL!Q11</f>
        <v>740834.97322321776</v>
      </c>
      <c r="R13" s="17">
        <f>DRE_FCL!R11</f>
        <v>740834.97322321776</v>
      </c>
      <c r="S13" s="17">
        <f>DRE_FCL!S11</f>
        <v>740834.97322321776</v>
      </c>
      <c r="T13" s="17">
        <f>DRE_FCL!T11</f>
        <v>740834.97322321776</v>
      </c>
      <c r="U13" s="17">
        <f>DRE_FCL!U11</f>
        <v>740834.97322321776</v>
      </c>
      <c r="V13" s="17">
        <f>DRE_FCL!V11</f>
        <v>740834.97322321776</v>
      </c>
      <c r="W13" s="17">
        <f>DRE_FCL!W11</f>
        <v>740834.97322321776</v>
      </c>
      <c r="X13" s="17">
        <f>DRE_FCL!X11</f>
        <v>740834.97322321776</v>
      </c>
      <c r="Y13" s="17">
        <f>DRE_FCL!Y11</f>
        <v>740834.97322321776</v>
      </c>
    </row>
    <row r="14" spans="1:25">
      <c r="B14" s="5" t="s">
        <v>592</v>
      </c>
      <c r="C14" s="8" t="s">
        <v>56</v>
      </c>
      <c r="D14" s="8" t="s">
        <v>593</v>
      </c>
      <c r="E14" s="17">
        <f>PREMISSAS!$C$120</f>
        <v>0</v>
      </c>
      <c r="F14" s="17">
        <f>PREMISSAS!$C$120</f>
        <v>0</v>
      </c>
      <c r="G14" s="17">
        <f>PREMISSAS!$C$120</f>
        <v>0</v>
      </c>
      <c r="H14" s="17">
        <f>PREMISSAS!$C$120</f>
        <v>0</v>
      </c>
      <c r="I14" s="17">
        <f>PREMISSAS!$C$120</f>
        <v>0</v>
      </c>
      <c r="J14" s="17">
        <f>PREMISSAS!$C$120</f>
        <v>0</v>
      </c>
      <c r="K14" s="17">
        <f>PREMISSAS!$C$120</f>
        <v>0</v>
      </c>
      <c r="L14" s="17">
        <f>PREMISSAS!$C$120</f>
        <v>0</v>
      </c>
      <c r="M14" s="17">
        <f>PREMISSAS!$C$120</f>
        <v>0</v>
      </c>
      <c r="N14" s="17">
        <f>PREMISSAS!$C$120</f>
        <v>0</v>
      </c>
      <c r="O14" s="17">
        <f>PREMISSAS!$C$120</f>
        <v>0</v>
      </c>
      <c r="P14" s="17">
        <f>PREMISSAS!$C$120</f>
        <v>0</v>
      </c>
      <c r="Q14" s="17">
        <f>PREMISSAS!$C$120</f>
        <v>0</v>
      </c>
      <c r="R14" s="17">
        <f>PREMISSAS!$C$120</f>
        <v>0</v>
      </c>
      <c r="S14" s="17">
        <f>PREMISSAS!$C$120</f>
        <v>0</v>
      </c>
      <c r="T14" s="17">
        <f>PREMISSAS!$C$120</f>
        <v>0</v>
      </c>
      <c r="U14" s="17">
        <f>PREMISSAS!$C$120</f>
        <v>0</v>
      </c>
      <c r="V14" s="17">
        <f>PREMISSAS!$C$120</f>
        <v>0</v>
      </c>
      <c r="W14" s="17">
        <f>PREMISSAS!$C$120</f>
        <v>0</v>
      </c>
      <c r="X14" s="17">
        <f>PREMISSAS!$C$120</f>
        <v>0</v>
      </c>
      <c r="Y14" s="17">
        <f>PREMISSAS!$C$120</f>
        <v>0</v>
      </c>
    </row>
    <row r="15" spans="1:25">
      <c r="B15" s="18" t="s">
        <v>594</v>
      </c>
      <c r="C15" s="18" t="s">
        <v>56</v>
      </c>
      <c r="D15" s="18" t="s">
        <v>593</v>
      </c>
      <c r="E15" s="19">
        <f>PREMISSAS!$C$121</f>
        <v>0</v>
      </c>
      <c r="F15" s="19">
        <f>PREMISSAS!$C$121</f>
        <v>0</v>
      </c>
      <c r="G15" s="19">
        <f>PREMISSAS!$C$121</f>
        <v>0</v>
      </c>
      <c r="H15" s="19">
        <f>PREMISSAS!$C$121</f>
        <v>0</v>
      </c>
      <c r="I15" s="19">
        <f>PREMISSAS!$C$121</f>
        <v>0</v>
      </c>
      <c r="J15" s="19">
        <f>PREMISSAS!$C$121</f>
        <v>0</v>
      </c>
      <c r="K15" s="19">
        <f>PREMISSAS!$C$121</f>
        <v>0</v>
      </c>
      <c r="L15" s="19">
        <f>PREMISSAS!$C$121</f>
        <v>0</v>
      </c>
      <c r="M15" s="19">
        <f>PREMISSAS!$C$121</f>
        <v>0</v>
      </c>
      <c r="N15" s="19">
        <f>PREMISSAS!$C$121</f>
        <v>0</v>
      </c>
      <c r="O15" s="19">
        <f>PREMISSAS!$C$121</f>
        <v>0</v>
      </c>
      <c r="P15" s="19">
        <f>PREMISSAS!$C$121</f>
        <v>0</v>
      </c>
      <c r="Q15" s="19">
        <f>PREMISSAS!$C$121</f>
        <v>0</v>
      </c>
      <c r="R15" s="19">
        <f>PREMISSAS!$C$121</f>
        <v>0</v>
      </c>
      <c r="S15" s="19">
        <f>PREMISSAS!$C$121</f>
        <v>0</v>
      </c>
      <c r="T15" s="19">
        <f>PREMISSAS!$C$121</f>
        <v>0</v>
      </c>
      <c r="U15" s="19">
        <f>PREMISSAS!$C$121</f>
        <v>0</v>
      </c>
      <c r="V15" s="19">
        <f>PREMISSAS!$C$121</f>
        <v>0</v>
      </c>
      <c r="W15" s="19">
        <f>PREMISSAS!$C$121</f>
        <v>0</v>
      </c>
      <c r="X15" s="19">
        <f>PREMISSAS!$C$121</f>
        <v>0</v>
      </c>
      <c r="Y15" s="19">
        <f>PREMISSAS!$C$121</f>
        <v>0</v>
      </c>
    </row>
    <row r="16" spans="1:25">
      <c r="B16" s="22" t="s">
        <v>595</v>
      </c>
      <c r="C16" s="8" t="s">
        <v>576</v>
      </c>
      <c r="D16" s="8" t="s">
        <v>596</v>
      </c>
      <c r="E16" s="17">
        <f t="shared" ref="E16:Y16" si="1">E13+E14-E15</f>
        <v>0</v>
      </c>
      <c r="F16" s="17">
        <f t="shared" si="1"/>
        <v>939734.97322321776</v>
      </c>
      <c r="G16" s="17">
        <f t="shared" si="1"/>
        <v>917634.97322321776</v>
      </c>
      <c r="H16" s="17">
        <f t="shared" si="1"/>
        <v>895534.97322321776</v>
      </c>
      <c r="I16" s="17">
        <f t="shared" si="1"/>
        <v>873434.97322321776</v>
      </c>
      <c r="J16" s="17">
        <f t="shared" si="1"/>
        <v>851334.97322321776</v>
      </c>
      <c r="K16" s="17">
        <f t="shared" si="1"/>
        <v>829234.97322321776</v>
      </c>
      <c r="L16" s="17">
        <f t="shared" si="1"/>
        <v>807134.97322321776</v>
      </c>
      <c r="M16" s="17">
        <f t="shared" si="1"/>
        <v>785034.97322321776</v>
      </c>
      <c r="N16" s="17">
        <f t="shared" si="1"/>
        <v>762934.97322321776</v>
      </c>
      <c r="O16" s="17">
        <f t="shared" si="1"/>
        <v>740834.97322321776</v>
      </c>
      <c r="P16" s="17">
        <f t="shared" si="1"/>
        <v>740834.97322321776</v>
      </c>
      <c r="Q16" s="17">
        <f t="shared" si="1"/>
        <v>740834.97322321776</v>
      </c>
      <c r="R16" s="17">
        <f t="shared" si="1"/>
        <v>740834.97322321776</v>
      </c>
      <c r="S16" s="17">
        <f t="shared" si="1"/>
        <v>740834.97322321776</v>
      </c>
      <c r="T16" s="17">
        <f t="shared" si="1"/>
        <v>740834.97322321776</v>
      </c>
      <c r="U16" s="17">
        <f t="shared" si="1"/>
        <v>740834.97322321776</v>
      </c>
      <c r="V16" s="17">
        <f t="shared" si="1"/>
        <v>740834.97322321776</v>
      </c>
      <c r="W16" s="17">
        <f t="shared" si="1"/>
        <v>740834.97322321776</v>
      </c>
      <c r="X16" s="17">
        <f t="shared" si="1"/>
        <v>740834.97322321776</v>
      </c>
      <c r="Y16" s="17">
        <f t="shared" si="1"/>
        <v>740834.97322321776</v>
      </c>
    </row>
    <row r="17" spans="2:25">
      <c r="B17" s="5" t="s">
        <v>597</v>
      </c>
      <c r="C17" s="8" t="s">
        <v>576</v>
      </c>
      <c r="D17" s="8" t="s">
        <v>598</v>
      </c>
      <c r="E17" s="17">
        <v>0</v>
      </c>
      <c r="F17" s="17">
        <f t="shared" ref="F17:Y17" si="2">E26</f>
        <v>0</v>
      </c>
      <c r="G17" s="17">
        <f t="shared" si="2"/>
        <v>0</v>
      </c>
      <c r="H17" s="17">
        <f t="shared" si="2"/>
        <v>0</v>
      </c>
      <c r="I17" s="17">
        <f t="shared" si="2"/>
        <v>0</v>
      </c>
      <c r="J17" s="17">
        <f t="shared" si="2"/>
        <v>0</v>
      </c>
      <c r="K17" s="17">
        <f t="shared" si="2"/>
        <v>0</v>
      </c>
      <c r="L17" s="17">
        <f t="shared" si="2"/>
        <v>0</v>
      </c>
      <c r="M17" s="17">
        <f t="shared" si="2"/>
        <v>0</v>
      </c>
      <c r="N17" s="17">
        <f t="shared" si="2"/>
        <v>0</v>
      </c>
      <c r="O17" s="17">
        <f t="shared" si="2"/>
        <v>0</v>
      </c>
      <c r="P17" s="17">
        <f t="shared" si="2"/>
        <v>0</v>
      </c>
      <c r="Q17" s="17">
        <f t="shared" si="2"/>
        <v>0</v>
      </c>
      <c r="R17" s="17">
        <f t="shared" si="2"/>
        <v>0</v>
      </c>
      <c r="S17" s="17">
        <f t="shared" si="2"/>
        <v>0</v>
      </c>
      <c r="T17" s="17">
        <f t="shared" si="2"/>
        <v>0</v>
      </c>
      <c r="U17" s="17">
        <f t="shared" si="2"/>
        <v>0</v>
      </c>
      <c r="V17" s="17">
        <f t="shared" si="2"/>
        <v>0</v>
      </c>
      <c r="W17" s="17">
        <f t="shared" si="2"/>
        <v>0</v>
      </c>
      <c r="X17" s="17">
        <f t="shared" si="2"/>
        <v>0</v>
      </c>
      <c r="Y17" s="17">
        <f t="shared" si="2"/>
        <v>0</v>
      </c>
    </row>
    <row r="18" spans="2:25">
      <c r="B18" s="18" t="s">
        <v>599</v>
      </c>
      <c r="C18" s="18" t="s">
        <v>576</v>
      </c>
      <c r="D18" s="18" t="s">
        <v>600</v>
      </c>
      <c r="E18" s="19">
        <f>IF(E16&gt;0,MIN(E17,E16*PREMISSAS!$C$118),0)</f>
        <v>0</v>
      </c>
      <c r="F18" s="19">
        <f>IF(F16&gt;0,MIN(F17,F16*PREMISSAS!$C$118),0)</f>
        <v>0</v>
      </c>
      <c r="G18" s="19">
        <f>IF(G16&gt;0,MIN(G17,G16*PREMISSAS!$C$118),0)</f>
        <v>0</v>
      </c>
      <c r="H18" s="19">
        <f>IF(H16&gt;0,MIN(H17,H16*PREMISSAS!$C$118),0)</f>
        <v>0</v>
      </c>
      <c r="I18" s="19">
        <f>IF(I16&gt;0,MIN(I17,I16*PREMISSAS!$C$118),0)</f>
        <v>0</v>
      </c>
      <c r="J18" s="19">
        <f>IF(J16&gt;0,MIN(J17,J16*PREMISSAS!$C$118),0)</f>
        <v>0</v>
      </c>
      <c r="K18" s="19">
        <f>IF(K16&gt;0,MIN(K17,K16*PREMISSAS!$C$118),0)</f>
        <v>0</v>
      </c>
      <c r="L18" s="19">
        <f>IF(L16&gt;0,MIN(L17,L16*PREMISSAS!$C$118),0)</f>
        <v>0</v>
      </c>
      <c r="M18" s="19">
        <f>IF(M16&gt;0,MIN(M17,M16*PREMISSAS!$C$118),0)</f>
        <v>0</v>
      </c>
      <c r="N18" s="19">
        <f>IF(N16&gt;0,MIN(N17,N16*PREMISSAS!$C$118),0)</f>
        <v>0</v>
      </c>
      <c r="O18" s="19">
        <f>IF(O16&gt;0,MIN(O17,O16*PREMISSAS!$C$118),0)</f>
        <v>0</v>
      </c>
      <c r="P18" s="19">
        <f>IF(P16&gt;0,MIN(P17,P16*PREMISSAS!$C$118),0)</f>
        <v>0</v>
      </c>
      <c r="Q18" s="19">
        <f>IF(Q16&gt;0,MIN(Q17,Q16*PREMISSAS!$C$118),0)</f>
        <v>0</v>
      </c>
      <c r="R18" s="19">
        <f>IF(R16&gt;0,MIN(R17,R16*PREMISSAS!$C$118),0)</f>
        <v>0</v>
      </c>
      <c r="S18" s="19">
        <f>IF(S16&gt;0,MIN(S17,S16*PREMISSAS!$C$118),0)</f>
        <v>0</v>
      </c>
      <c r="T18" s="19">
        <f>IF(T16&gt;0,MIN(T17,T16*PREMISSAS!$C$118),0)</f>
        <v>0</v>
      </c>
      <c r="U18" s="19">
        <f>IF(U16&gt;0,MIN(U17,U16*PREMISSAS!$C$118),0)</f>
        <v>0</v>
      </c>
      <c r="V18" s="19">
        <f>IF(V16&gt;0,MIN(V17,V16*PREMISSAS!$C$118),0)</f>
        <v>0</v>
      </c>
      <c r="W18" s="19">
        <f>IF(W16&gt;0,MIN(W17,W16*PREMISSAS!$C$118),0)</f>
        <v>0</v>
      </c>
      <c r="X18" s="19">
        <f>IF(X16&gt;0,MIN(X17,X16*PREMISSAS!$C$118),0)</f>
        <v>0</v>
      </c>
      <c r="Y18" s="19">
        <f>IF(Y16&gt;0,MIN(Y17,Y16*PREMISSAS!$C$118),0)</f>
        <v>0</v>
      </c>
    </row>
    <row r="19" spans="2:25">
      <c r="B19" s="22" t="s">
        <v>601</v>
      </c>
      <c r="C19" s="8" t="s">
        <v>576</v>
      </c>
      <c r="D19" s="8" t="s">
        <v>602</v>
      </c>
      <c r="E19" s="17">
        <f t="shared" ref="E19:Y19" si="3">MAX(E16-E18,0)</f>
        <v>0</v>
      </c>
      <c r="F19" s="17">
        <f t="shared" si="3"/>
        <v>939734.97322321776</v>
      </c>
      <c r="G19" s="17">
        <f t="shared" si="3"/>
        <v>917634.97322321776</v>
      </c>
      <c r="H19" s="17">
        <f t="shared" si="3"/>
        <v>895534.97322321776</v>
      </c>
      <c r="I19" s="17">
        <f t="shared" si="3"/>
        <v>873434.97322321776</v>
      </c>
      <c r="J19" s="17">
        <f t="shared" si="3"/>
        <v>851334.97322321776</v>
      </c>
      <c r="K19" s="17">
        <f t="shared" si="3"/>
        <v>829234.97322321776</v>
      </c>
      <c r="L19" s="17">
        <f t="shared" si="3"/>
        <v>807134.97322321776</v>
      </c>
      <c r="M19" s="17">
        <f t="shared" si="3"/>
        <v>785034.97322321776</v>
      </c>
      <c r="N19" s="17">
        <f t="shared" si="3"/>
        <v>762934.97322321776</v>
      </c>
      <c r="O19" s="17">
        <f t="shared" si="3"/>
        <v>740834.97322321776</v>
      </c>
      <c r="P19" s="17">
        <f t="shared" si="3"/>
        <v>740834.97322321776</v>
      </c>
      <c r="Q19" s="17">
        <f t="shared" si="3"/>
        <v>740834.97322321776</v>
      </c>
      <c r="R19" s="17">
        <f t="shared" si="3"/>
        <v>740834.97322321776</v>
      </c>
      <c r="S19" s="17">
        <f t="shared" si="3"/>
        <v>740834.97322321776</v>
      </c>
      <c r="T19" s="17">
        <f t="shared" si="3"/>
        <v>740834.97322321776</v>
      </c>
      <c r="U19" s="17">
        <f t="shared" si="3"/>
        <v>740834.97322321776</v>
      </c>
      <c r="V19" s="17">
        <f t="shared" si="3"/>
        <v>740834.97322321776</v>
      </c>
      <c r="W19" s="17">
        <f t="shared" si="3"/>
        <v>740834.97322321776</v>
      </c>
      <c r="X19" s="17">
        <f t="shared" si="3"/>
        <v>740834.97322321776</v>
      </c>
      <c r="Y19" s="17">
        <f t="shared" si="3"/>
        <v>740834.97322321776</v>
      </c>
    </row>
    <row r="20" spans="2:25">
      <c r="B20" t="s">
        <v>603</v>
      </c>
      <c r="C20" t="s">
        <v>576</v>
      </c>
      <c r="D20" t="s">
        <v>604</v>
      </c>
      <c r="E20">
        <f>E19*PREMISSAS!$C$114</f>
        <v>0</v>
      </c>
      <c r="F20">
        <f>F19*PREMISSAS!$C$114</f>
        <v>140960.24598348266</v>
      </c>
      <c r="G20">
        <f>G19*PREMISSAS!$C$114</f>
        <v>137645.24598348266</v>
      </c>
      <c r="H20">
        <f>H19*PREMISSAS!$C$114</f>
        <v>134330.24598348266</v>
      </c>
      <c r="I20">
        <f>I19*PREMISSAS!$C$114</f>
        <v>131015.24598348266</v>
      </c>
      <c r="J20">
        <f>J19*PREMISSAS!$C$114</f>
        <v>127700.24598348266</v>
      </c>
      <c r="K20">
        <f>K19*PREMISSAS!$C$114</f>
        <v>124385.24598348266</v>
      </c>
      <c r="L20">
        <f>L19*PREMISSAS!$C$114</f>
        <v>121070.24598348266</v>
      </c>
      <c r="M20">
        <f>M19*PREMISSAS!$C$114</f>
        <v>117755.24598348266</v>
      </c>
      <c r="N20">
        <f>N19*PREMISSAS!$C$114</f>
        <v>114440.24598348266</v>
      </c>
      <c r="O20">
        <f>O19*PREMISSAS!$C$114</f>
        <v>111125.24598348266</v>
      </c>
      <c r="P20">
        <f>P19*PREMISSAS!$C$114</f>
        <v>111125.24598348266</v>
      </c>
      <c r="Q20">
        <f>Q19*PREMISSAS!$C$114</f>
        <v>111125.24598348266</v>
      </c>
      <c r="R20">
        <f>R19*PREMISSAS!$C$114</f>
        <v>111125.24598348266</v>
      </c>
      <c r="S20">
        <f>S19*PREMISSAS!$C$114</f>
        <v>111125.24598348266</v>
      </c>
      <c r="T20">
        <f>T19*PREMISSAS!$C$114</f>
        <v>111125.24598348266</v>
      </c>
      <c r="U20">
        <f>U19*PREMISSAS!$C$114</f>
        <v>111125.24598348266</v>
      </c>
      <c r="V20">
        <f>V19*PREMISSAS!$C$114</f>
        <v>111125.24598348266</v>
      </c>
      <c r="W20">
        <f>W19*PREMISSAS!$C$114</f>
        <v>111125.24598348266</v>
      </c>
      <c r="X20">
        <f>X19*PREMISSAS!$C$114</f>
        <v>111125.24598348266</v>
      </c>
      <c r="Y20">
        <f>Y19*PREMISSAS!$C$114</f>
        <v>111125.24598348266</v>
      </c>
    </row>
    <row r="21" spans="2:25">
      <c r="B21" t="s">
        <v>605</v>
      </c>
      <c r="C21" t="s">
        <v>576</v>
      </c>
      <c r="D21" t="s">
        <v>606</v>
      </c>
      <c r="E21">
        <f>MAX(E19-PREMISSAS!$C$116,0)*PREMISSAS!$C$115</f>
        <v>0</v>
      </c>
      <c r="F21">
        <f>MAX(F19-PREMISSAS!$C$116,0)*PREMISSAS!$C$115</f>
        <v>69973.497322321782</v>
      </c>
      <c r="G21">
        <f>MAX(G19-PREMISSAS!$C$116,0)*PREMISSAS!$C$115</f>
        <v>67763.497322321782</v>
      </c>
      <c r="H21">
        <f>MAX(H19-PREMISSAS!$C$116,0)*PREMISSAS!$C$115</f>
        <v>65553.497322321782</v>
      </c>
      <c r="I21">
        <f>MAX(I19-PREMISSAS!$C$116,0)*PREMISSAS!$C$115</f>
        <v>63343.497322321782</v>
      </c>
      <c r="J21">
        <f>MAX(J19-PREMISSAS!$C$116,0)*PREMISSAS!$C$115</f>
        <v>61133.497322321782</v>
      </c>
      <c r="K21">
        <f>MAX(K19-PREMISSAS!$C$116,0)*PREMISSAS!$C$115</f>
        <v>58923.497322321782</v>
      </c>
      <c r="L21">
        <f>MAX(L19-PREMISSAS!$C$116,0)*PREMISSAS!$C$115</f>
        <v>56713.497322321782</v>
      </c>
      <c r="M21">
        <f>MAX(M19-PREMISSAS!$C$116,0)*PREMISSAS!$C$115</f>
        <v>54503.497322321782</v>
      </c>
      <c r="N21">
        <f>MAX(N19-PREMISSAS!$C$116,0)*PREMISSAS!$C$115</f>
        <v>52293.497322321782</v>
      </c>
      <c r="O21">
        <f>MAX(O19-PREMISSAS!$C$116,0)*PREMISSAS!$C$115</f>
        <v>50083.497322321782</v>
      </c>
      <c r="P21">
        <f>MAX(P19-PREMISSAS!$C$116,0)*PREMISSAS!$C$115</f>
        <v>50083.497322321782</v>
      </c>
      <c r="Q21">
        <f>MAX(Q19-PREMISSAS!$C$116,0)*PREMISSAS!$C$115</f>
        <v>50083.497322321782</v>
      </c>
      <c r="R21">
        <f>MAX(R19-PREMISSAS!$C$116,0)*PREMISSAS!$C$115</f>
        <v>50083.497322321782</v>
      </c>
      <c r="S21">
        <f>MAX(S19-PREMISSAS!$C$116,0)*PREMISSAS!$C$115</f>
        <v>50083.497322321782</v>
      </c>
      <c r="T21">
        <f>MAX(T19-PREMISSAS!$C$116,0)*PREMISSAS!$C$115</f>
        <v>50083.497322321782</v>
      </c>
      <c r="U21">
        <f>MAX(U19-PREMISSAS!$C$116,0)*PREMISSAS!$C$115</f>
        <v>50083.497322321782</v>
      </c>
      <c r="V21">
        <f>MAX(V19-PREMISSAS!$C$116,0)*PREMISSAS!$C$115</f>
        <v>50083.497322321782</v>
      </c>
      <c r="W21">
        <f>MAX(W19-PREMISSAS!$C$116,0)*PREMISSAS!$C$115</f>
        <v>50083.497322321782</v>
      </c>
      <c r="X21">
        <f>MAX(X19-PREMISSAS!$C$116,0)*PREMISSAS!$C$115</f>
        <v>50083.497322321782</v>
      </c>
      <c r="Y21">
        <f>MAX(Y19-PREMISSAS!$C$116,0)*PREMISSAS!$C$115</f>
        <v>50083.497322321782</v>
      </c>
    </row>
    <row r="22" spans="2:25">
      <c r="B22" t="s">
        <v>607</v>
      </c>
      <c r="C22" t="s">
        <v>576</v>
      </c>
      <c r="D22" t="s">
        <v>598</v>
      </c>
      <c r="E22">
        <v>0</v>
      </c>
      <c r="F22">
        <f t="shared" ref="F22:Y22" si="4">E27</f>
        <v>0</v>
      </c>
      <c r="G22">
        <f t="shared" si="4"/>
        <v>0</v>
      </c>
      <c r="H22">
        <f t="shared" si="4"/>
        <v>0</v>
      </c>
      <c r="I22">
        <f t="shared" si="4"/>
        <v>0</v>
      </c>
      <c r="J22">
        <f t="shared" si="4"/>
        <v>0</v>
      </c>
      <c r="K22">
        <f t="shared" si="4"/>
        <v>0</v>
      </c>
      <c r="L22">
        <f t="shared" si="4"/>
        <v>0</v>
      </c>
      <c r="M22">
        <f t="shared" si="4"/>
        <v>0</v>
      </c>
      <c r="N22">
        <f t="shared" si="4"/>
        <v>0</v>
      </c>
      <c r="O22">
        <f t="shared" si="4"/>
        <v>0</v>
      </c>
      <c r="P22">
        <f t="shared" si="4"/>
        <v>0</v>
      </c>
      <c r="Q22">
        <f t="shared" si="4"/>
        <v>0</v>
      </c>
      <c r="R22">
        <f t="shared" si="4"/>
        <v>0</v>
      </c>
      <c r="S22">
        <f t="shared" si="4"/>
        <v>0</v>
      </c>
      <c r="T22">
        <f t="shared" si="4"/>
        <v>0</v>
      </c>
      <c r="U22">
        <f t="shared" si="4"/>
        <v>0</v>
      </c>
      <c r="V22">
        <f t="shared" si="4"/>
        <v>0</v>
      </c>
      <c r="W22">
        <f t="shared" si="4"/>
        <v>0</v>
      </c>
      <c r="X22">
        <f t="shared" si="4"/>
        <v>0</v>
      </c>
      <c r="Y22">
        <f t="shared" si="4"/>
        <v>0</v>
      </c>
    </row>
    <row r="23" spans="2:25">
      <c r="B23" t="s">
        <v>608</v>
      </c>
      <c r="C23" t="s">
        <v>576</v>
      </c>
      <c r="D23" t="s">
        <v>600</v>
      </c>
      <c r="E23">
        <f>IF(E16&gt;0,MIN(E22,E16*PREMISSAS!$C$119),0)</f>
        <v>0</v>
      </c>
      <c r="F23">
        <f>IF(F16&gt;0,MIN(F22,F16*PREMISSAS!$C$119),0)</f>
        <v>0</v>
      </c>
      <c r="G23">
        <f>IF(G16&gt;0,MIN(G22,G16*PREMISSAS!$C$119),0)</f>
        <v>0</v>
      </c>
      <c r="H23">
        <f>IF(H16&gt;0,MIN(H22,H16*PREMISSAS!$C$119),0)</f>
        <v>0</v>
      </c>
      <c r="I23">
        <f>IF(I16&gt;0,MIN(I22,I16*PREMISSAS!$C$119),0)</f>
        <v>0</v>
      </c>
      <c r="J23">
        <f>IF(J16&gt;0,MIN(J22,J16*PREMISSAS!$C$119),0)</f>
        <v>0</v>
      </c>
      <c r="K23">
        <f>IF(K16&gt;0,MIN(K22,K16*PREMISSAS!$C$119),0)</f>
        <v>0</v>
      </c>
      <c r="L23">
        <f>IF(L16&gt;0,MIN(L22,L16*PREMISSAS!$C$119),0)</f>
        <v>0</v>
      </c>
      <c r="M23">
        <f>IF(M16&gt;0,MIN(M22,M16*PREMISSAS!$C$119),0)</f>
        <v>0</v>
      </c>
      <c r="N23">
        <f>IF(N16&gt;0,MIN(N22,N16*PREMISSAS!$C$119),0)</f>
        <v>0</v>
      </c>
      <c r="O23">
        <f>IF(O16&gt;0,MIN(O22,O16*PREMISSAS!$C$119),0)</f>
        <v>0</v>
      </c>
      <c r="P23">
        <f>IF(P16&gt;0,MIN(P22,P16*PREMISSAS!$C$119),0)</f>
        <v>0</v>
      </c>
      <c r="Q23">
        <f>IF(Q16&gt;0,MIN(Q22,Q16*PREMISSAS!$C$119),0)</f>
        <v>0</v>
      </c>
      <c r="R23">
        <f>IF(R16&gt;0,MIN(R22,R16*PREMISSAS!$C$119),0)</f>
        <v>0</v>
      </c>
      <c r="S23">
        <f>IF(S16&gt;0,MIN(S22,S16*PREMISSAS!$C$119),0)</f>
        <v>0</v>
      </c>
      <c r="T23">
        <f>IF(T16&gt;0,MIN(T22,T16*PREMISSAS!$C$119),0)</f>
        <v>0</v>
      </c>
      <c r="U23">
        <f>IF(U16&gt;0,MIN(U22,U16*PREMISSAS!$C$119),0)</f>
        <v>0</v>
      </c>
      <c r="V23">
        <f>IF(V16&gt;0,MIN(V22,V16*PREMISSAS!$C$119),0)</f>
        <v>0</v>
      </c>
      <c r="W23">
        <f>IF(W16&gt;0,MIN(W22,W16*PREMISSAS!$C$119),0)</f>
        <v>0</v>
      </c>
      <c r="X23">
        <f>IF(X16&gt;0,MIN(X22,X16*PREMISSAS!$C$119),0)</f>
        <v>0</v>
      </c>
      <c r="Y23">
        <f>IF(Y16&gt;0,MIN(Y22,Y16*PREMISSAS!$C$119),0)</f>
        <v>0</v>
      </c>
    </row>
    <row r="24" spans="2:25">
      <c r="B24" t="s">
        <v>609</v>
      </c>
      <c r="C24" t="s">
        <v>576</v>
      </c>
      <c r="D24" t="s">
        <v>610</v>
      </c>
      <c r="E24">
        <f t="shared" ref="E24:Y24" si="5">MAX(E16-E23,0)</f>
        <v>0</v>
      </c>
      <c r="F24">
        <f t="shared" si="5"/>
        <v>939734.97322321776</v>
      </c>
      <c r="G24">
        <f t="shared" si="5"/>
        <v>917634.97322321776</v>
      </c>
      <c r="H24">
        <f t="shared" si="5"/>
        <v>895534.97322321776</v>
      </c>
      <c r="I24">
        <f t="shared" si="5"/>
        <v>873434.97322321776</v>
      </c>
      <c r="J24">
        <f t="shared" si="5"/>
        <v>851334.97322321776</v>
      </c>
      <c r="K24">
        <f t="shared" si="5"/>
        <v>829234.97322321776</v>
      </c>
      <c r="L24">
        <f t="shared" si="5"/>
        <v>807134.97322321776</v>
      </c>
      <c r="M24">
        <f t="shared" si="5"/>
        <v>785034.97322321776</v>
      </c>
      <c r="N24">
        <f t="shared" si="5"/>
        <v>762934.97322321776</v>
      </c>
      <c r="O24">
        <f t="shared" si="5"/>
        <v>740834.97322321776</v>
      </c>
      <c r="P24">
        <f t="shared" si="5"/>
        <v>740834.97322321776</v>
      </c>
      <c r="Q24">
        <f t="shared" si="5"/>
        <v>740834.97322321776</v>
      </c>
      <c r="R24">
        <f t="shared" si="5"/>
        <v>740834.97322321776</v>
      </c>
      <c r="S24">
        <f t="shared" si="5"/>
        <v>740834.97322321776</v>
      </c>
      <c r="T24">
        <f t="shared" si="5"/>
        <v>740834.97322321776</v>
      </c>
      <c r="U24">
        <f t="shared" si="5"/>
        <v>740834.97322321776</v>
      </c>
      <c r="V24">
        <f t="shared" si="5"/>
        <v>740834.97322321776</v>
      </c>
      <c r="W24">
        <f t="shared" si="5"/>
        <v>740834.97322321776</v>
      </c>
      <c r="X24">
        <f t="shared" si="5"/>
        <v>740834.97322321776</v>
      </c>
      <c r="Y24">
        <f t="shared" si="5"/>
        <v>740834.97322321776</v>
      </c>
    </row>
    <row r="25" spans="2:25">
      <c r="B25" t="s">
        <v>611</v>
      </c>
      <c r="C25" t="s">
        <v>576</v>
      </c>
      <c r="D25" t="s">
        <v>612</v>
      </c>
      <c r="E25">
        <f>E24*PREMISSAS!$C$117</f>
        <v>0</v>
      </c>
      <c r="F25">
        <f>F24*PREMISSAS!$C$117</f>
        <v>84576.147590089589</v>
      </c>
      <c r="G25">
        <f>G24*PREMISSAS!$C$117</f>
        <v>82587.147590089589</v>
      </c>
      <c r="H25">
        <f>H24*PREMISSAS!$C$117</f>
        <v>80598.147590089589</v>
      </c>
      <c r="I25">
        <f>I24*PREMISSAS!$C$117</f>
        <v>78609.147590089589</v>
      </c>
      <c r="J25">
        <f>J24*PREMISSAS!$C$117</f>
        <v>76620.147590089589</v>
      </c>
      <c r="K25">
        <f>K24*PREMISSAS!$C$117</f>
        <v>74631.147590089589</v>
      </c>
      <c r="L25">
        <f>L24*PREMISSAS!$C$117</f>
        <v>72642.147590089589</v>
      </c>
      <c r="M25">
        <f>M24*PREMISSAS!$C$117</f>
        <v>70653.147590089589</v>
      </c>
      <c r="N25">
        <f>N24*PREMISSAS!$C$117</f>
        <v>68664.147590089589</v>
      </c>
      <c r="O25">
        <f>O24*PREMISSAS!$C$117</f>
        <v>66675.147590089589</v>
      </c>
      <c r="P25">
        <f>P24*PREMISSAS!$C$117</f>
        <v>66675.147590089589</v>
      </c>
      <c r="Q25">
        <f>Q24*PREMISSAS!$C$117</f>
        <v>66675.147590089589</v>
      </c>
      <c r="R25">
        <f>R24*PREMISSAS!$C$117</f>
        <v>66675.147590089589</v>
      </c>
      <c r="S25">
        <f>S24*PREMISSAS!$C$117</f>
        <v>66675.147590089589</v>
      </c>
      <c r="T25">
        <f>T24*PREMISSAS!$C$117</f>
        <v>66675.147590089589</v>
      </c>
      <c r="U25">
        <f>U24*PREMISSAS!$C$117</f>
        <v>66675.147590089589</v>
      </c>
      <c r="V25">
        <f>V24*PREMISSAS!$C$117</f>
        <v>66675.147590089589</v>
      </c>
      <c r="W25">
        <f>W24*PREMISSAS!$C$117</f>
        <v>66675.147590089589</v>
      </c>
      <c r="X25">
        <f>X24*PREMISSAS!$C$117</f>
        <v>66675.147590089589</v>
      </c>
      <c r="Y25">
        <f>Y24*PREMISSAS!$C$117</f>
        <v>66675.147590089589</v>
      </c>
    </row>
    <row r="26" spans="2:25">
      <c r="B26" t="s">
        <v>613</v>
      </c>
      <c r="C26" t="s">
        <v>576</v>
      </c>
      <c r="D26" t="s">
        <v>614</v>
      </c>
      <c r="E26">
        <f t="shared" ref="E26:Y26" si="6">MAX(E17-E18,0)+MAX(-E16,0)</f>
        <v>0</v>
      </c>
      <c r="F26">
        <f t="shared" si="6"/>
        <v>0</v>
      </c>
      <c r="G26">
        <f t="shared" si="6"/>
        <v>0</v>
      </c>
      <c r="H26">
        <f t="shared" si="6"/>
        <v>0</v>
      </c>
      <c r="I26">
        <f t="shared" si="6"/>
        <v>0</v>
      </c>
      <c r="J26">
        <f t="shared" si="6"/>
        <v>0</v>
      </c>
      <c r="K26">
        <f t="shared" si="6"/>
        <v>0</v>
      </c>
      <c r="L26">
        <f t="shared" si="6"/>
        <v>0</v>
      </c>
      <c r="M26">
        <f t="shared" si="6"/>
        <v>0</v>
      </c>
      <c r="N26">
        <f t="shared" si="6"/>
        <v>0</v>
      </c>
      <c r="O26">
        <f t="shared" si="6"/>
        <v>0</v>
      </c>
      <c r="P26">
        <f t="shared" si="6"/>
        <v>0</v>
      </c>
      <c r="Q26">
        <f t="shared" si="6"/>
        <v>0</v>
      </c>
      <c r="R26">
        <f t="shared" si="6"/>
        <v>0</v>
      </c>
      <c r="S26">
        <f t="shared" si="6"/>
        <v>0</v>
      </c>
      <c r="T26">
        <f t="shared" si="6"/>
        <v>0</v>
      </c>
      <c r="U26">
        <f t="shared" si="6"/>
        <v>0</v>
      </c>
      <c r="V26">
        <f t="shared" si="6"/>
        <v>0</v>
      </c>
      <c r="W26">
        <f t="shared" si="6"/>
        <v>0</v>
      </c>
      <c r="X26">
        <f t="shared" si="6"/>
        <v>0</v>
      </c>
      <c r="Y26">
        <f t="shared" si="6"/>
        <v>0</v>
      </c>
    </row>
    <row r="27" spans="2:25">
      <c r="B27" t="s">
        <v>615</v>
      </c>
      <c r="C27" t="s">
        <v>576</v>
      </c>
      <c r="D27" t="s">
        <v>614</v>
      </c>
      <c r="E27">
        <f t="shared" ref="E27:Y27" si="7">MAX(E22-E23,0)+MAX(-E16,0)</f>
        <v>0</v>
      </c>
      <c r="F27">
        <f t="shared" si="7"/>
        <v>0</v>
      </c>
      <c r="G27">
        <f t="shared" si="7"/>
        <v>0</v>
      </c>
      <c r="H27">
        <f t="shared" si="7"/>
        <v>0</v>
      </c>
      <c r="I27">
        <f t="shared" si="7"/>
        <v>0</v>
      </c>
      <c r="J27">
        <f t="shared" si="7"/>
        <v>0</v>
      </c>
      <c r="K27">
        <f t="shared" si="7"/>
        <v>0</v>
      </c>
      <c r="L27">
        <f t="shared" si="7"/>
        <v>0</v>
      </c>
      <c r="M27">
        <f t="shared" si="7"/>
        <v>0</v>
      </c>
      <c r="N27">
        <f t="shared" si="7"/>
        <v>0</v>
      </c>
      <c r="O27">
        <f t="shared" si="7"/>
        <v>0</v>
      </c>
      <c r="P27">
        <f t="shared" si="7"/>
        <v>0</v>
      </c>
      <c r="Q27">
        <f t="shared" si="7"/>
        <v>0</v>
      </c>
      <c r="R27">
        <f t="shared" si="7"/>
        <v>0</v>
      </c>
      <c r="S27">
        <f t="shared" si="7"/>
        <v>0</v>
      </c>
      <c r="T27">
        <f t="shared" si="7"/>
        <v>0</v>
      </c>
      <c r="U27">
        <f t="shared" si="7"/>
        <v>0</v>
      </c>
      <c r="V27">
        <f t="shared" si="7"/>
        <v>0</v>
      </c>
      <c r="W27">
        <f t="shared" si="7"/>
        <v>0</v>
      </c>
      <c r="X27">
        <f t="shared" si="7"/>
        <v>0</v>
      </c>
      <c r="Y27">
        <f t="shared" si="7"/>
        <v>0</v>
      </c>
    </row>
    <row r="28" spans="2:25">
      <c r="B28" t="s">
        <v>616</v>
      </c>
      <c r="C28" t="s">
        <v>576</v>
      </c>
      <c r="D28" t="s">
        <v>617</v>
      </c>
      <c r="E28">
        <f t="shared" ref="E28:Y28" si="8">E12+E20+E21+E25</f>
        <v>0</v>
      </c>
      <c r="F28">
        <f t="shared" si="8"/>
        <v>563516.6603020035</v>
      </c>
      <c r="G28">
        <f t="shared" si="8"/>
        <v>556002.6603020035</v>
      </c>
      <c r="H28">
        <f t="shared" si="8"/>
        <v>548488.6603020035</v>
      </c>
      <c r="I28">
        <f t="shared" si="8"/>
        <v>540974.6603020035</v>
      </c>
      <c r="J28">
        <f t="shared" si="8"/>
        <v>533460.6603020035</v>
      </c>
      <c r="K28">
        <f t="shared" si="8"/>
        <v>525946.6603020035</v>
      </c>
      <c r="L28">
        <f t="shared" si="8"/>
        <v>518432.6603020035</v>
      </c>
      <c r="M28">
        <f t="shared" si="8"/>
        <v>510918.6603020035</v>
      </c>
      <c r="N28">
        <f t="shared" si="8"/>
        <v>503404.6603020035</v>
      </c>
      <c r="O28">
        <f t="shared" si="8"/>
        <v>495890.6603020035</v>
      </c>
      <c r="P28">
        <f t="shared" si="8"/>
        <v>495890.6603020035</v>
      </c>
      <c r="Q28">
        <f t="shared" si="8"/>
        <v>495890.6603020035</v>
      </c>
      <c r="R28">
        <f t="shared" si="8"/>
        <v>495890.6603020035</v>
      </c>
      <c r="S28">
        <f t="shared" si="8"/>
        <v>495890.6603020035</v>
      </c>
      <c r="T28">
        <f t="shared" si="8"/>
        <v>495890.6603020035</v>
      </c>
      <c r="U28">
        <f t="shared" si="8"/>
        <v>495890.6603020035</v>
      </c>
      <c r="V28">
        <f t="shared" si="8"/>
        <v>495890.6603020035</v>
      </c>
      <c r="W28">
        <f t="shared" si="8"/>
        <v>495890.6603020035</v>
      </c>
      <c r="X28">
        <f t="shared" si="8"/>
        <v>495890.6603020035</v>
      </c>
      <c r="Y28">
        <f t="shared" si="8"/>
        <v>495890.6603020035</v>
      </c>
    </row>
    <row r="29" spans="2:25">
      <c r="B29" t="s">
        <v>618</v>
      </c>
      <c r="C29" t="s">
        <v>576</v>
      </c>
      <c r="D29" t="s">
        <v>619</v>
      </c>
      <c r="E29">
        <f t="shared" ref="E29:Y29" si="9">IF(E6&lt;&gt;0,E28/E6,0)</f>
        <v>0</v>
      </c>
      <c r="F29">
        <f t="shared" si="9"/>
        <v>0.19449244208809555</v>
      </c>
      <c r="G29">
        <f t="shared" si="9"/>
        <v>0.19189905610183786</v>
      </c>
      <c r="H29">
        <f t="shared" si="9"/>
        <v>0.18930567011558017</v>
      </c>
      <c r="I29">
        <f t="shared" si="9"/>
        <v>0.18671228412932248</v>
      </c>
      <c r="J29">
        <f t="shared" si="9"/>
        <v>0.18411889814306479</v>
      </c>
      <c r="K29">
        <f t="shared" si="9"/>
        <v>0.1815255121568071</v>
      </c>
      <c r="L29">
        <f t="shared" si="9"/>
        <v>0.1789321261705494</v>
      </c>
      <c r="M29">
        <f t="shared" si="9"/>
        <v>0.17633874018429171</v>
      </c>
      <c r="N29">
        <f t="shared" si="9"/>
        <v>0.17374535419803402</v>
      </c>
      <c r="O29">
        <f t="shared" si="9"/>
        <v>0.17115196821177633</v>
      </c>
      <c r="P29">
        <f t="shared" si="9"/>
        <v>0.17115196821177633</v>
      </c>
      <c r="Q29">
        <f t="shared" si="9"/>
        <v>0.17115196821177633</v>
      </c>
      <c r="R29">
        <f t="shared" si="9"/>
        <v>0.17115196821177633</v>
      </c>
      <c r="S29">
        <f t="shared" si="9"/>
        <v>0.17115196821177633</v>
      </c>
      <c r="T29">
        <f t="shared" si="9"/>
        <v>0.17115196821177633</v>
      </c>
      <c r="U29">
        <f t="shared" si="9"/>
        <v>0.17115196821177633</v>
      </c>
      <c r="V29">
        <f t="shared" si="9"/>
        <v>0.17115196821177633</v>
      </c>
      <c r="W29">
        <f t="shared" si="9"/>
        <v>0.17115196821177633</v>
      </c>
      <c r="X29">
        <f t="shared" si="9"/>
        <v>0.17115196821177633</v>
      </c>
      <c r="Y29">
        <f t="shared" si="9"/>
        <v>0.17115196821177633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6600"/>
  </sheetPr>
  <dimension ref="A1:Y50"/>
  <sheetViews>
    <sheetView zoomScaleNormal="100" workbookViewId="0"/>
  </sheetViews>
  <sheetFormatPr defaultColWidth="8.7109375" defaultRowHeight="15"/>
  <cols>
    <col min="1" max="1" width="3" customWidth="1"/>
    <col min="2" max="2" width="48" customWidth="1"/>
    <col min="3" max="3" width="18" customWidth="1"/>
    <col min="4" max="4" width="28" customWidth="1"/>
    <col min="5" max="6" width="18" customWidth="1"/>
    <col min="7" max="7" width="26" customWidth="1"/>
    <col min="8" max="25" width="18" customWidth="1"/>
  </cols>
  <sheetData>
    <row r="1" spans="1:25" ht="15.75" customHeight="1">
      <c r="A1" s="134"/>
      <c r="B1" s="43" t="s">
        <v>620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</row>
    <row r="2" spans="1:25" ht="33.75" customHeight="1">
      <c r="A2" s="99"/>
      <c r="B2" s="44" t="s">
        <v>621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spans="1:25">
      <c r="A3" s="99"/>
      <c r="B3" s="45" t="s">
        <v>622</v>
      </c>
      <c r="C3" s="45" t="s">
        <v>623</v>
      </c>
      <c r="D3" s="45" t="s">
        <v>624</v>
      </c>
      <c r="E3" s="45" t="s">
        <v>495</v>
      </c>
      <c r="F3" s="45" t="s">
        <v>496</v>
      </c>
      <c r="G3" s="45" t="s">
        <v>497</v>
      </c>
      <c r="H3" s="45" t="s">
        <v>498</v>
      </c>
      <c r="I3" s="45" t="s">
        <v>499</v>
      </c>
      <c r="J3" s="45" t="s">
        <v>500</v>
      </c>
      <c r="K3" s="45" t="s">
        <v>501</v>
      </c>
      <c r="L3" s="45" t="s">
        <v>502</v>
      </c>
      <c r="M3" s="45" t="s">
        <v>503</v>
      </c>
      <c r="N3" s="45" t="s">
        <v>504</v>
      </c>
      <c r="O3" s="45" t="s">
        <v>505</v>
      </c>
      <c r="P3" s="45" t="s">
        <v>506</v>
      </c>
      <c r="Q3" s="45" t="s">
        <v>507</v>
      </c>
      <c r="R3" s="45" t="s">
        <v>508</v>
      </c>
      <c r="S3" s="45" t="s">
        <v>509</v>
      </c>
      <c r="T3" s="45" t="s">
        <v>510</v>
      </c>
      <c r="U3" s="45" t="s">
        <v>511</v>
      </c>
      <c r="V3" s="45" t="s">
        <v>512</v>
      </c>
      <c r="W3" s="45" t="s">
        <v>513</v>
      </c>
      <c r="X3" s="45" t="s">
        <v>514</v>
      </c>
      <c r="Y3" s="45" t="s">
        <v>515</v>
      </c>
    </row>
    <row r="4" spans="1:25">
      <c r="A4" s="99"/>
      <c r="B4" s="58" t="s">
        <v>625</v>
      </c>
      <c r="C4" s="58"/>
      <c r="D4" s="58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</row>
    <row r="5" spans="1:25" ht="33.75" customHeight="1">
      <c r="A5" s="99"/>
      <c r="B5" s="48" t="s">
        <v>626</v>
      </c>
      <c r="C5" s="44" t="s">
        <v>627</v>
      </c>
      <c r="D5" s="44" t="s">
        <v>628</v>
      </c>
      <c r="E5" s="60">
        <f>IF(CÁLCULO!E4&gt;0,(((CÁLCULO!E4*PREMISSAS!$C$48)+PREMISSAS!$C$45)*PREMISSAS!$C$78),0)</f>
        <v>0</v>
      </c>
      <c r="F5" s="60">
        <f>IF(CÁLCULO!F4&gt;0,(((CÁLCULO!F4*PREMISSAS!$C$48)+PREMISSAS!$C$45)*PREMISSAS!$C$78),0)</f>
        <v>624196.08697111707</v>
      </c>
      <c r="G5" s="60">
        <f>IF(CÁLCULO!G4&gt;0,(((CÁLCULO!G4*PREMISSAS!$C$48)+PREMISSAS!$C$45)*PREMISSAS!$C$78),0)</f>
        <v>624196.08697111707</v>
      </c>
      <c r="H5" s="60">
        <f>IF(CÁLCULO!H4&gt;0,(((CÁLCULO!H4*PREMISSAS!$C$48)+PREMISSAS!$C$45)*PREMISSAS!$C$78),0)</f>
        <v>624196.08697111707</v>
      </c>
      <c r="I5" s="60">
        <f>IF(CÁLCULO!I4&gt;0,(((CÁLCULO!I4*PREMISSAS!$C$48)+PREMISSAS!$C$45)*PREMISSAS!$C$78),0)</f>
        <v>624196.08697111707</v>
      </c>
      <c r="J5" s="60">
        <f>IF(CÁLCULO!J4&gt;0,(((CÁLCULO!J4*PREMISSAS!$C$48)+PREMISSAS!$C$45)*PREMISSAS!$C$78),0)</f>
        <v>624196.08697111707</v>
      </c>
      <c r="K5" s="60">
        <f>IF(CÁLCULO!K4&gt;0,(((CÁLCULO!K4*PREMISSAS!$C$48)+PREMISSAS!$C$45)*PREMISSAS!$C$78),0)</f>
        <v>624196.08697111707</v>
      </c>
      <c r="L5" s="60">
        <f>IF(CÁLCULO!L4&gt;0,(((CÁLCULO!L4*PREMISSAS!$C$48)+PREMISSAS!$C$45)*PREMISSAS!$C$78),0)</f>
        <v>624196.08697111707</v>
      </c>
      <c r="M5" s="60">
        <f>IF(CÁLCULO!M4&gt;0,(((CÁLCULO!M4*PREMISSAS!$C$48)+PREMISSAS!$C$45)*PREMISSAS!$C$78),0)</f>
        <v>624196.08697111707</v>
      </c>
      <c r="N5" s="60">
        <f>IF(CÁLCULO!N4&gt;0,(((CÁLCULO!N4*PREMISSAS!$C$48)+PREMISSAS!$C$45)*PREMISSAS!$C$78),0)</f>
        <v>624196.08697111707</v>
      </c>
      <c r="O5" s="60">
        <f>IF(CÁLCULO!O4&gt;0,(((CÁLCULO!O4*PREMISSAS!$C$48)+PREMISSAS!$C$45)*PREMISSAS!$C$78),0)</f>
        <v>624196.08697111707</v>
      </c>
      <c r="P5" s="60">
        <f>IF(CÁLCULO!P4&gt;0,(((CÁLCULO!P4*PREMISSAS!$C$48)+PREMISSAS!$C$45)*PREMISSAS!$C$78),0)</f>
        <v>624196.08697111707</v>
      </c>
      <c r="Q5" s="60">
        <f>IF(CÁLCULO!Q4&gt;0,(((CÁLCULO!Q4*PREMISSAS!$C$48)+PREMISSAS!$C$45)*PREMISSAS!$C$78),0)</f>
        <v>624196.08697111707</v>
      </c>
      <c r="R5" s="60">
        <f>IF(CÁLCULO!R4&gt;0,(((CÁLCULO!R4*PREMISSAS!$C$48)+PREMISSAS!$C$45)*PREMISSAS!$C$78),0)</f>
        <v>624196.08697111707</v>
      </c>
      <c r="S5" s="60">
        <f>IF(CÁLCULO!S4&gt;0,(((CÁLCULO!S4*PREMISSAS!$C$48)+PREMISSAS!$C$45)*PREMISSAS!$C$78),0)</f>
        <v>624196.08697111707</v>
      </c>
      <c r="T5" s="60">
        <f>IF(CÁLCULO!T4&gt;0,(((CÁLCULO!T4*PREMISSAS!$C$48)+PREMISSAS!$C$45)*PREMISSAS!$C$78),0)</f>
        <v>624196.08697111707</v>
      </c>
      <c r="U5" s="60">
        <f>IF(CÁLCULO!U4&gt;0,(((CÁLCULO!U4*PREMISSAS!$C$48)+PREMISSAS!$C$45)*PREMISSAS!$C$78),0)</f>
        <v>624196.08697111707</v>
      </c>
      <c r="V5" s="60">
        <f>IF(CÁLCULO!V4&gt;0,(((CÁLCULO!V4*PREMISSAS!$C$48)+PREMISSAS!$C$45)*PREMISSAS!$C$78),0)</f>
        <v>624196.08697111707</v>
      </c>
      <c r="W5" s="60">
        <f>IF(CÁLCULO!W4&gt;0,(((CÁLCULO!W4*PREMISSAS!$C$48)+PREMISSAS!$C$45)*PREMISSAS!$C$78),0)</f>
        <v>624196.08697111707</v>
      </c>
      <c r="X5" s="60">
        <f>IF(CÁLCULO!X4&gt;0,(((CÁLCULO!X4*PREMISSAS!$C$48)+PREMISSAS!$C$45)*PREMISSAS!$C$78),0)</f>
        <v>624196.08697111707</v>
      </c>
      <c r="Y5" s="60">
        <f>IF(CÁLCULO!Y4&gt;0,(((CÁLCULO!Y4*PREMISSAS!$C$48)+PREMISSAS!$C$45)*PREMISSAS!$C$78),0)</f>
        <v>624196.08697111707</v>
      </c>
    </row>
    <row r="6" spans="1:25" ht="22.5" customHeight="1">
      <c r="A6" s="99"/>
      <c r="B6" s="48" t="s">
        <v>629</v>
      </c>
      <c r="C6" s="44" t="s">
        <v>627</v>
      </c>
      <c r="D6" s="44" t="s">
        <v>630</v>
      </c>
      <c r="E6" s="60">
        <v>0</v>
      </c>
      <c r="F6" s="60">
        <f>PREMISSAS!$C$53*CÁLCULO!F4</f>
        <v>141870.33100799998</v>
      </c>
      <c r="G6" s="60">
        <f>PREMISSAS!$C$53*CÁLCULO!G4</f>
        <v>141870.33100799998</v>
      </c>
      <c r="H6" s="60">
        <f>PREMISSAS!$C$53*CÁLCULO!H4</f>
        <v>141870.33100799998</v>
      </c>
      <c r="I6" s="60">
        <f>PREMISSAS!$C$53*CÁLCULO!I4</f>
        <v>141870.33100799998</v>
      </c>
      <c r="J6" s="60">
        <f>PREMISSAS!$C$53*CÁLCULO!J4</f>
        <v>141870.33100799998</v>
      </c>
      <c r="K6" s="60">
        <f>PREMISSAS!$C$53*CÁLCULO!K4</f>
        <v>141870.33100799998</v>
      </c>
      <c r="L6" s="60">
        <f>PREMISSAS!$C$53*CÁLCULO!L4</f>
        <v>141870.33100799998</v>
      </c>
      <c r="M6" s="60">
        <f>PREMISSAS!$C$53*CÁLCULO!M4</f>
        <v>141870.33100799998</v>
      </c>
      <c r="N6" s="60">
        <f>PREMISSAS!$C$53*CÁLCULO!N4</f>
        <v>141870.33100799998</v>
      </c>
      <c r="O6" s="60">
        <f>PREMISSAS!$C$53*CÁLCULO!O4</f>
        <v>141870.33100799998</v>
      </c>
      <c r="P6" s="60">
        <f>PREMISSAS!$C$53*CÁLCULO!P4</f>
        <v>141870.33100799998</v>
      </c>
      <c r="Q6" s="60">
        <f>PREMISSAS!$C$53*CÁLCULO!Q4</f>
        <v>141870.33100799998</v>
      </c>
      <c r="R6" s="60">
        <f>PREMISSAS!$C$53*CÁLCULO!R4</f>
        <v>141870.33100799998</v>
      </c>
      <c r="S6" s="60">
        <f>PREMISSAS!$C$53*CÁLCULO!S4</f>
        <v>141870.33100799998</v>
      </c>
      <c r="T6" s="60">
        <f>PREMISSAS!$C$53*CÁLCULO!T4</f>
        <v>141870.33100799998</v>
      </c>
      <c r="U6" s="60">
        <f>PREMISSAS!$C$53*CÁLCULO!U4</f>
        <v>141870.33100799998</v>
      </c>
      <c r="V6" s="60">
        <f>PREMISSAS!$C$53*CÁLCULO!V4</f>
        <v>141870.33100799998</v>
      </c>
      <c r="W6" s="60">
        <f>PREMISSAS!$C$53*CÁLCULO!W4</f>
        <v>141870.33100799998</v>
      </c>
      <c r="X6" s="60">
        <f>PREMISSAS!$C$53*CÁLCULO!X4</f>
        <v>141870.33100799998</v>
      </c>
      <c r="Y6" s="60">
        <f>PREMISSAS!$C$53*CÁLCULO!Y4</f>
        <v>141870.33100799998</v>
      </c>
    </row>
    <row r="7" spans="1:25" ht="22.5" customHeight="1">
      <c r="A7" s="99"/>
      <c r="B7" s="48" t="s">
        <v>631</v>
      </c>
      <c r="C7" s="44" t="s">
        <v>627</v>
      </c>
      <c r="D7" s="44" t="s">
        <v>630</v>
      </c>
      <c r="E7" s="60">
        <v>0</v>
      </c>
      <c r="F7" s="60">
        <f>PREMISSAS!$C$54*CÁLCULO!F4</f>
        <v>236450.55167999998</v>
      </c>
      <c r="G7" s="60">
        <f>PREMISSAS!$C$54*CÁLCULO!G4</f>
        <v>236450.55167999998</v>
      </c>
      <c r="H7" s="60">
        <f>PREMISSAS!$C$54*CÁLCULO!H4</f>
        <v>236450.55167999998</v>
      </c>
      <c r="I7" s="60">
        <f>PREMISSAS!$C$54*CÁLCULO!I4</f>
        <v>236450.55167999998</v>
      </c>
      <c r="J7" s="60">
        <f>PREMISSAS!$C$54*CÁLCULO!J4</f>
        <v>236450.55167999998</v>
      </c>
      <c r="K7" s="60">
        <f>PREMISSAS!$C$54*CÁLCULO!K4</f>
        <v>236450.55167999998</v>
      </c>
      <c r="L7" s="60">
        <f>PREMISSAS!$C$54*CÁLCULO!L4</f>
        <v>236450.55167999998</v>
      </c>
      <c r="M7" s="60">
        <f>PREMISSAS!$C$54*CÁLCULO!M4</f>
        <v>236450.55167999998</v>
      </c>
      <c r="N7" s="60">
        <f>PREMISSAS!$C$54*CÁLCULO!N4</f>
        <v>236450.55167999998</v>
      </c>
      <c r="O7" s="60">
        <f>PREMISSAS!$C$54*CÁLCULO!O4</f>
        <v>236450.55167999998</v>
      </c>
      <c r="P7" s="60">
        <f>PREMISSAS!$C$54*CÁLCULO!P4</f>
        <v>236450.55167999998</v>
      </c>
      <c r="Q7" s="60">
        <f>PREMISSAS!$C$54*CÁLCULO!Q4</f>
        <v>236450.55167999998</v>
      </c>
      <c r="R7" s="60">
        <f>PREMISSAS!$C$54*CÁLCULO!R4</f>
        <v>236450.55167999998</v>
      </c>
      <c r="S7" s="60">
        <f>PREMISSAS!$C$54*CÁLCULO!S4</f>
        <v>236450.55167999998</v>
      </c>
      <c r="T7" s="60">
        <f>PREMISSAS!$C$54*CÁLCULO!T4</f>
        <v>236450.55167999998</v>
      </c>
      <c r="U7" s="60">
        <f>PREMISSAS!$C$54*CÁLCULO!U4</f>
        <v>236450.55167999998</v>
      </c>
      <c r="V7" s="60">
        <f>PREMISSAS!$C$54*CÁLCULO!V4</f>
        <v>236450.55167999998</v>
      </c>
      <c r="W7" s="60">
        <f>PREMISSAS!$C$54*CÁLCULO!W4</f>
        <v>236450.55167999998</v>
      </c>
      <c r="X7" s="60">
        <f>PREMISSAS!$C$54*CÁLCULO!X4</f>
        <v>236450.55167999998</v>
      </c>
      <c r="Y7" s="60">
        <f>PREMISSAS!$C$54*CÁLCULO!Y4</f>
        <v>236450.55167999998</v>
      </c>
    </row>
    <row r="8" spans="1:25" ht="22.5" customHeight="1">
      <c r="A8" s="99"/>
      <c r="B8" s="48" t="s">
        <v>632</v>
      </c>
      <c r="C8" s="44" t="s">
        <v>627</v>
      </c>
      <c r="D8" s="44" t="s">
        <v>380</v>
      </c>
      <c r="E8" s="60">
        <v>0</v>
      </c>
      <c r="F8" s="60">
        <f>PREMISSAS!$C$57*CÁLCULO!F5</f>
        <v>25264.741447008</v>
      </c>
      <c r="G8" s="60">
        <f>PREMISSAS!$C$57*CÁLCULO!G5</f>
        <v>25264.741447008</v>
      </c>
      <c r="H8" s="60">
        <f>PREMISSAS!$C$57*CÁLCULO!H5</f>
        <v>25264.741447008</v>
      </c>
      <c r="I8" s="60">
        <f>PREMISSAS!$C$57*CÁLCULO!I5</f>
        <v>25264.741447008</v>
      </c>
      <c r="J8" s="60">
        <f>PREMISSAS!$C$57*CÁLCULO!J5</f>
        <v>25264.741447008</v>
      </c>
      <c r="K8" s="60">
        <f>PREMISSAS!$C$57*CÁLCULO!K5</f>
        <v>25264.741447008</v>
      </c>
      <c r="L8" s="60">
        <f>PREMISSAS!$C$57*CÁLCULO!L5</f>
        <v>25264.741447008</v>
      </c>
      <c r="M8" s="60">
        <f>PREMISSAS!$C$57*CÁLCULO!M5</f>
        <v>25264.741447008</v>
      </c>
      <c r="N8" s="60">
        <f>PREMISSAS!$C$57*CÁLCULO!N5</f>
        <v>25264.741447008</v>
      </c>
      <c r="O8" s="60">
        <f>PREMISSAS!$C$57*CÁLCULO!O5</f>
        <v>25264.741447008</v>
      </c>
      <c r="P8" s="60">
        <f>PREMISSAS!$C$57*CÁLCULO!P5</f>
        <v>25264.741447008</v>
      </c>
      <c r="Q8" s="60">
        <f>PREMISSAS!$C$57*CÁLCULO!Q5</f>
        <v>25264.741447008</v>
      </c>
      <c r="R8" s="60">
        <f>PREMISSAS!$C$57*CÁLCULO!R5</f>
        <v>25264.741447008</v>
      </c>
      <c r="S8" s="60">
        <f>PREMISSAS!$C$57*CÁLCULO!S5</f>
        <v>25264.741447008</v>
      </c>
      <c r="T8" s="60">
        <f>PREMISSAS!$C$57*CÁLCULO!T5</f>
        <v>25264.741447008</v>
      </c>
      <c r="U8" s="60">
        <f>PREMISSAS!$C$57*CÁLCULO!U5</f>
        <v>25264.741447008</v>
      </c>
      <c r="V8" s="60">
        <f>PREMISSAS!$C$57*CÁLCULO!V5</f>
        <v>25264.741447008</v>
      </c>
      <c r="W8" s="60">
        <f>PREMISSAS!$C$57*CÁLCULO!W5</f>
        <v>25264.741447008</v>
      </c>
      <c r="X8" s="60">
        <f>PREMISSAS!$C$57*CÁLCULO!X5</f>
        <v>25264.741447008</v>
      </c>
      <c r="Y8" s="60">
        <f>PREMISSAS!$C$57*CÁLCULO!Y5</f>
        <v>25264.741447008</v>
      </c>
    </row>
    <row r="9" spans="1:25" ht="24" customHeight="1">
      <c r="A9" s="99"/>
      <c r="B9" s="61" t="s">
        <v>633</v>
      </c>
      <c r="C9" s="61" t="s">
        <v>627</v>
      </c>
      <c r="D9" s="61" t="s">
        <v>380</v>
      </c>
      <c r="E9" s="62">
        <v>0</v>
      </c>
      <c r="F9" s="62">
        <f>PREMISSAS!$C$58*CÁLCULO!F5</f>
        <v>36094.176713952002</v>
      </c>
      <c r="G9" s="62">
        <f>PREMISSAS!$C$58*CÁLCULO!G5</f>
        <v>36094.176713952002</v>
      </c>
      <c r="H9" s="62">
        <f>PREMISSAS!$C$58*CÁLCULO!H5</f>
        <v>36094.176713952002</v>
      </c>
      <c r="I9" s="62">
        <f>PREMISSAS!$C$58*CÁLCULO!I5</f>
        <v>36094.176713952002</v>
      </c>
      <c r="J9" s="62">
        <f>PREMISSAS!$C$58*CÁLCULO!J5</f>
        <v>36094.176713952002</v>
      </c>
      <c r="K9" s="62">
        <f>PREMISSAS!$C$58*CÁLCULO!K5</f>
        <v>36094.176713952002</v>
      </c>
      <c r="L9" s="62">
        <f>PREMISSAS!$C$58*CÁLCULO!L5</f>
        <v>36094.176713952002</v>
      </c>
      <c r="M9" s="62">
        <f>PREMISSAS!$C$58*CÁLCULO!M5</f>
        <v>36094.176713952002</v>
      </c>
      <c r="N9" s="62">
        <f>PREMISSAS!$C$58*CÁLCULO!N5</f>
        <v>36094.176713952002</v>
      </c>
      <c r="O9" s="62">
        <f>PREMISSAS!$C$58*CÁLCULO!O5</f>
        <v>36094.176713952002</v>
      </c>
      <c r="P9" s="62">
        <f>PREMISSAS!$C$58*CÁLCULO!P5</f>
        <v>36094.176713952002</v>
      </c>
      <c r="Q9" s="62">
        <f>PREMISSAS!$C$58*CÁLCULO!Q5</f>
        <v>36094.176713952002</v>
      </c>
      <c r="R9" s="62">
        <f>PREMISSAS!$C$58*CÁLCULO!R5</f>
        <v>36094.176713952002</v>
      </c>
      <c r="S9" s="62">
        <f>PREMISSAS!$C$58*CÁLCULO!S5</f>
        <v>36094.176713952002</v>
      </c>
      <c r="T9" s="62">
        <f>PREMISSAS!$C$58*CÁLCULO!T5</f>
        <v>36094.176713952002</v>
      </c>
      <c r="U9" s="62">
        <f>PREMISSAS!$C$58*CÁLCULO!U5</f>
        <v>36094.176713952002</v>
      </c>
      <c r="V9" s="62">
        <f>PREMISSAS!$C$58*CÁLCULO!V5</f>
        <v>36094.176713952002</v>
      </c>
      <c r="W9" s="62">
        <f>PREMISSAS!$C$58*CÁLCULO!W5</f>
        <v>36094.176713952002</v>
      </c>
      <c r="X9" s="62">
        <f>PREMISSAS!$C$58*CÁLCULO!X5</f>
        <v>36094.176713952002</v>
      </c>
      <c r="Y9" s="62">
        <f>PREMISSAS!$C$58*CÁLCULO!Y5</f>
        <v>36094.176713952002</v>
      </c>
    </row>
    <row r="10" spans="1:25">
      <c r="A10" s="99"/>
      <c r="B10" s="63" t="s">
        <v>634</v>
      </c>
      <c r="C10" s="63"/>
      <c r="D10" s="63"/>
      <c r="E10" s="64">
        <v>0</v>
      </c>
      <c r="F10" s="64">
        <f t="shared" ref="F10:Y10" si="0">SUM(F5:F9)</f>
        <v>1063875.8878200771</v>
      </c>
      <c r="G10" s="64">
        <f t="shared" si="0"/>
        <v>1063875.8878200771</v>
      </c>
      <c r="H10" s="64">
        <f t="shared" si="0"/>
        <v>1063875.8878200771</v>
      </c>
      <c r="I10" s="64">
        <f t="shared" si="0"/>
        <v>1063875.8878200771</v>
      </c>
      <c r="J10" s="64">
        <f t="shared" si="0"/>
        <v>1063875.8878200771</v>
      </c>
      <c r="K10" s="64">
        <f t="shared" si="0"/>
        <v>1063875.8878200771</v>
      </c>
      <c r="L10" s="64">
        <f t="shared" si="0"/>
        <v>1063875.8878200771</v>
      </c>
      <c r="M10" s="64">
        <f t="shared" si="0"/>
        <v>1063875.8878200771</v>
      </c>
      <c r="N10" s="64">
        <f t="shared" si="0"/>
        <v>1063875.8878200771</v>
      </c>
      <c r="O10" s="64">
        <f t="shared" si="0"/>
        <v>1063875.8878200771</v>
      </c>
      <c r="P10" s="64">
        <f t="shared" si="0"/>
        <v>1063875.8878200771</v>
      </c>
      <c r="Q10" s="64">
        <f t="shared" si="0"/>
        <v>1063875.8878200771</v>
      </c>
      <c r="R10" s="64">
        <f t="shared" si="0"/>
        <v>1063875.8878200771</v>
      </c>
      <c r="S10" s="64">
        <f t="shared" si="0"/>
        <v>1063875.8878200771</v>
      </c>
      <c r="T10" s="64">
        <f t="shared" si="0"/>
        <v>1063875.8878200771</v>
      </c>
      <c r="U10" s="64">
        <f t="shared" si="0"/>
        <v>1063875.8878200771</v>
      </c>
      <c r="V10" s="64">
        <f t="shared" si="0"/>
        <v>1063875.8878200771</v>
      </c>
      <c r="W10" s="64">
        <f t="shared" si="0"/>
        <v>1063875.8878200771</v>
      </c>
      <c r="X10" s="64">
        <f t="shared" si="0"/>
        <v>1063875.8878200771</v>
      </c>
      <c r="Y10" s="64">
        <f t="shared" si="0"/>
        <v>1063875.8878200771</v>
      </c>
    </row>
    <row r="11" spans="1:25">
      <c r="A11" s="99"/>
      <c r="B11" s="58" t="s">
        <v>635</v>
      </c>
      <c r="C11" s="58"/>
      <c r="D11" s="58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</row>
    <row r="12" spans="1:25" ht="22.5" customHeight="1">
      <c r="A12" s="99"/>
      <c r="B12" s="48" t="s">
        <v>636</v>
      </c>
      <c r="C12" s="44" t="s">
        <v>637</v>
      </c>
      <c r="D12" s="44" t="s">
        <v>638</v>
      </c>
      <c r="E12" s="60">
        <v>0</v>
      </c>
      <c r="F12" s="60">
        <f>PREMISSAS!$C$51*PREMISSAS!$C$50*CÁLCULO!F10</f>
        <v>354675.82751999993</v>
      </c>
      <c r="G12" s="60">
        <f>PREMISSAS!$C$51*PREMISSAS!$C$50*CÁLCULO!G10</f>
        <v>354675.82751999993</v>
      </c>
      <c r="H12" s="60">
        <f>PREMISSAS!$C$51*PREMISSAS!$C$50*CÁLCULO!H10</f>
        <v>354675.82751999993</v>
      </c>
      <c r="I12" s="60">
        <f>PREMISSAS!$C$51*PREMISSAS!$C$50*CÁLCULO!I10</f>
        <v>354675.82751999993</v>
      </c>
      <c r="J12" s="60">
        <f>PREMISSAS!$C$51*PREMISSAS!$C$50*CÁLCULO!J10</f>
        <v>354675.82751999993</v>
      </c>
      <c r="K12" s="60">
        <f>PREMISSAS!$C$51*PREMISSAS!$C$50*CÁLCULO!K10</f>
        <v>354675.82751999993</v>
      </c>
      <c r="L12" s="60">
        <f>PREMISSAS!$C$51*PREMISSAS!$C$50*CÁLCULO!L10</f>
        <v>354675.82751999993</v>
      </c>
      <c r="M12" s="60">
        <f>PREMISSAS!$C$51*PREMISSAS!$C$50*CÁLCULO!M10</f>
        <v>354675.82751999993</v>
      </c>
      <c r="N12" s="60">
        <f>PREMISSAS!$C$51*PREMISSAS!$C$50*CÁLCULO!N10</f>
        <v>354675.82751999993</v>
      </c>
      <c r="O12" s="60">
        <f>PREMISSAS!$C$51*PREMISSAS!$C$50*CÁLCULO!O10</f>
        <v>354675.82751999993</v>
      </c>
      <c r="P12" s="60">
        <f>PREMISSAS!$C$51*PREMISSAS!$C$50*CÁLCULO!P10</f>
        <v>354675.82751999993</v>
      </c>
      <c r="Q12" s="60">
        <f>PREMISSAS!$C$51*PREMISSAS!$C$50*CÁLCULO!Q10</f>
        <v>354675.82751999993</v>
      </c>
      <c r="R12" s="60">
        <f>PREMISSAS!$C$51*PREMISSAS!$C$50*CÁLCULO!R10</f>
        <v>354675.82751999993</v>
      </c>
      <c r="S12" s="60">
        <f>PREMISSAS!$C$51*PREMISSAS!$C$50*CÁLCULO!S10</f>
        <v>354675.82751999993</v>
      </c>
      <c r="T12" s="60">
        <f>PREMISSAS!$C$51*PREMISSAS!$C$50*CÁLCULO!T10</f>
        <v>354675.82751999993</v>
      </c>
      <c r="U12" s="60">
        <f>PREMISSAS!$C$51*PREMISSAS!$C$50*CÁLCULO!U10</f>
        <v>354675.82751999993</v>
      </c>
      <c r="V12" s="60">
        <f>PREMISSAS!$C$51*PREMISSAS!$C$50*CÁLCULO!V10</f>
        <v>354675.82751999993</v>
      </c>
      <c r="W12" s="60">
        <f>PREMISSAS!$C$51*PREMISSAS!$C$50*CÁLCULO!W10</f>
        <v>354675.82751999993</v>
      </c>
      <c r="X12" s="60">
        <f>PREMISSAS!$C$51*PREMISSAS!$C$50*CÁLCULO!X10</f>
        <v>354675.82751999993</v>
      </c>
      <c r="Y12" s="60">
        <f>PREMISSAS!$C$51*PREMISSAS!$C$50*CÁLCULO!Y10</f>
        <v>354675.82751999993</v>
      </c>
    </row>
    <row r="13" spans="1:25" ht="22.5" customHeight="1">
      <c r="A13" s="99"/>
      <c r="B13" s="48" t="s">
        <v>639</v>
      </c>
      <c r="C13" s="44" t="s">
        <v>640</v>
      </c>
      <c r="D13" s="44" t="s">
        <v>641</v>
      </c>
      <c r="E13" s="60">
        <v>0</v>
      </c>
      <c r="F13" s="133">
        <f>IF(CÁLCULO!F4&gt;0,PREMISSAS!$C$52*MIN(1,10)*CAPEX!$C$6,0)</f>
        <v>22100</v>
      </c>
      <c r="G13" s="133">
        <f>IF(CÁLCULO!G4&gt;0,PREMISSAS!$C$52*MIN(2,10)*CAPEX!$C$6,0)</f>
        <v>44200</v>
      </c>
      <c r="H13" s="133">
        <f>IF(CÁLCULO!H4&gt;0,PREMISSAS!$C$52*MIN(3,10)*CAPEX!$C$6,0)</f>
        <v>66300</v>
      </c>
      <c r="I13" s="133">
        <f>IF(CÁLCULO!I4&gt;0,PREMISSAS!$C$52*MIN(4,10)*CAPEX!$C$6,0)</f>
        <v>88400</v>
      </c>
      <c r="J13" s="133">
        <f>IF(CÁLCULO!J4&gt;0,PREMISSAS!$C$52*MIN(5,10)*CAPEX!$C$6,0)</f>
        <v>110500</v>
      </c>
      <c r="K13" s="133">
        <f>IF(CÁLCULO!K4&gt;0,PREMISSAS!$C$52*MIN(6,10)*CAPEX!$C$6,0)</f>
        <v>132600</v>
      </c>
      <c r="L13" s="133">
        <f>IF(CÁLCULO!L4&gt;0,PREMISSAS!$C$52*MIN(7,10)*CAPEX!$C$6,0)</f>
        <v>154700.00000000003</v>
      </c>
      <c r="M13" s="133">
        <f>IF(CÁLCULO!M4&gt;0,PREMISSAS!$C$52*MIN(8,10)*CAPEX!$C$6,0)</f>
        <v>176800</v>
      </c>
      <c r="N13" s="133">
        <f>IF(CÁLCULO!N4&gt;0,PREMISSAS!$C$52*MIN(9,10)*CAPEX!$C$6,0)</f>
        <v>198900</v>
      </c>
      <c r="O13" s="133">
        <f>IF(CÁLCULO!O4&gt;0,PREMISSAS!$C$52*MIN(10,10)*CAPEX!$C$6,0)</f>
        <v>221000</v>
      </c>
      <c r="P13" s="133">
        <f>IF(CÁLCULO!P4&gt;0,PREMISSAS!$C$52*MIN(11,10)*CAPEX!$C$6,0)</f>
        <v>221000</v>
      </c>
      <c r="Q13" s="133">
        <f>IF(CÁLCULO!Q4&gt;0,PREMISSAS!$C$52*MIN(12,10)*CAPEX!$C$6,0)</f>
        <v>221000</v>
      </c>
      <c r="R13" s="133">
        <f>IF(CÁLCULO!R4&gt;0,PREMISSAS!$C$52*MIN(13,10)*CAPEX!$C$6,0)</f>
        <v>221000</v>
      </c>
      <c r="S13" s="133">
        <f>IF(CÁLCULO!S4&gt;0,PREMISSAS!$C$52*MIN(14,10)*CAPEX!$C$6,0)</f>
        <v>221000</v>
      </c>
      <c r="T13" s="133">
        <f>IF(CÁLCULO!T4&gt;0,PREMISSAS!$C$52*MIN(15,10)*CAPEX!$C$6,0)</f>
        <v>221000</v>
      </c>
      <c r="U13" s="133">
        <f>IF(CÁLCULO!U4&gt;0,PREMISSAS!$C$52*MIN(16,10)*CAPEX!$C$6,0)</f>
        <v>221000</v>
      </c>
      <c r="V13" s="133">
        <f>IF(CÁLCULO!V4&gt;0,PREMISSAS!$C$52*MIN(17,10)*CAPEX!$C$6,0)</f>
        <v>221000</v>
      </c>
      <c r="W13" s="133">
        <f>IF(CÁLCULO!W4&gt;0,PREMISSAS!$C$52*MIN(18,10)*CAPEX!$C$6,0)</f>
        <v>221000</v>
      </c>
      <c r="X13" s="133">
        <f>IF(CÁLCULO!X4&gt;0,PREMISSAS!$C$52*MIN(19,10)*CAPEX!$C$6,0)</f>
        <v>221000</v>
      </c>
      <c r="Y13" s="133">
        <f>IF(CÁLCULO!Y4&gt;0,PREMISSAS!$C$52*MIN(20,10)*CAPEX!$C$6,0)</f>
        <v>221000</v>
      </c>
    </row>
    <row r="14" spans="1:25">
      <c r="A14" s="99"/>
      <c r="B14" s="63" t="s">
        <v>642</v>
      </c>
      <c r="C14" s="63"/>
      <c r="D14" s="63"/>
      <c r="E14" s="64">
        <v>0</v>
      </c>
      <c r="F14" s="64">
        <f t="shared" ref="F14:Y14" si="1">SUM(F12:F13)</f>
        <v>376775.82751999993</v>
      </c>
      <c r="G14" s="64">
        <f t="shared" si="1"/>
        <v>398875.82751999993</v>
      </c>
      <c r="H14" s="64">
        <f t="shared" si="1"/>
        <v>420975.82751999993</v>
      </c>
      <c r="I14" s="64">
        <f t="shared" si="1"/>
        <v>443075.82751999993</v>
      </c>
      <c r="J14" s="64">
        <f t="shared" si="1"/>
        <v>465175.82751999993</v>
      </c>
      <c r="K14" s="64">
        <f t="shared" si="1"/>
        <v>487275.82751999993</v>
      </c>
      <c r="L14" s="64">
        <f t="shared" si="1"/>
        <v>509375.82751999993</v>
      </c>
      <c r="M14" s="64">
        <f t="shared" si="1"/>
        <v>531475.82751999993</v>
      </c>
      <c r="N14" s="64">
        <f t="shared" si="1"/>
        <v>553575.82751999993</v>
      </c>
      <c r="O14" s="64">
        <f t="shared" si="1"/>
        <v>575675.82751999993</v>
      </c>
      <c r="P14" s="64">
        <f t="shared" si="1"/>
        <v>575675.82751999993</v>
      </c>
      <c r="Q14" s="64">
        <f t="shared" si="1"/>
        <v>575675.82751999993</v>
      </c>
      <c r="R14" s="64">
        <f t="shared" si="1"/>
        <v>575675.82751999993</v>
      </c>
      <c r="S14" s="64">
        <f t="shared" si="1"/>
        <v>575675.82751999993</v>
      </c>
      <c r="T14" s="64">
        <f t="shared" si="1"/>
        <v>575675.82751999993</v>
      </c>
      <c r="U14" s="64">
        <f t="shared" si="1"/>
        <v>575675.82751999993</v>
      </c>
      <c r="V14" s="64">
        <f t="shared" si="1"/>
        <v>575675.82751999993</v>
      </c>
      <c r="W14" s="64">
        <f t="shared" si="1"/>
        <v>575675.82751999993</v>
      </c>
      <c r="X14" s="64">
        <f t="shared" si="1"/>
        <v>575675.82751999993</v>
      </c>
      <c r="Y14" s="64">
        <f t="shared" si="1"/>
        <v>575675.82751999993</v>
      </c>
    </row>
    <row r="15" spans="1:25">
      <c r="A15" s="99"/>
      <c r="B15" s="65" t="s">
        <v>643</v>
      </c>
      <c r="C15" s="65"/>
      <c r="D15" s="65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spans="1:25" ht="36" customHeight="1">
      <c r="A16" s="99"/>
      <c r="B16" s="61" t="s">
        <v>644</v>
      </c>
      <c r="C16" s="61" t="s">
        <v>645</v>
      </c>
      <c r="D16" s="61" t="s">
        <v>646</v>
      </c>
      <c r="E16" s="62">
        <f>IF(CÁLCULO!E4&gt;0,PREMISSAS!$C$79*PREMISSAS!$C$105,0)</f>
        <v>0</v>
      </c>
      <c r="F16" s="62">
        <f>IF(CÁLCULO!F4&gt;0,PREMISSAS!$C$79*PREMISSAS!$C$105,0)</f>
        <v>129214.79150275369</v>
      </c>
      <c r="G16" s="62">
        <f>IF(CÁLCULO!G4&gt;0,PREMISSAS!$C$79*PREMISSAS!$C$105,0)</f>
        <v>129214.79150275369</v>
      </c>
      <c r="H16" s="62">
        <f>IF(CÁLCULO!H4&gt;0,PREMISSAS!$C$79*PREMISSAS!$C$105,0)</f>
        <v>129214.79150275369</v>
      </c>
      <c r="I16" s="62">
        <f>IF(CÁLCULO!I4&gt;0,PREMISSAS!$C$79*PREMISSAS!$C$105,0)</f>
        <v>129214.79150275369</v>
      </c>
      <c r="J16" s="62">
        <f>IF(CÁLCULO!J4&gt;0,PREMISSAS!$C$79*PREMISSAS!$C$105,0)</f>
        <v>129214.79150275369</v>
      </c>
      <c r="K16" s="62">
        <f>IF(CÁLCULO!K4&gt;0,PREMISSAS!$C$79*PREMISSAS!$C$105,0)</f>
        <v>129214.79150275369</v>
      </c>
      <c r="L16" s="62">
        <f>IF(CÁLCULO!L4&gt;0,PREMISSAS!$C$79*PREMISSAS!$C$105,0)</f>
        <v>129214.79150275369</v>
      </c>
      <c r="M16" s="62">
        <f>IF(CÁLCULO!M4&gt;0,PREMISSAS!$C$79*PREMISSAS!$C$105,0)</f>
        <v>129214.79150275369</v>
      </c>
      <c r="N16" s="62">
        <f>IF(CÁLCULO!N4&gt;0,PREMISSAS!$C$79*PREMISSAS!$C$105,0)</f>
        <v>129214.79150275369</v>
      </c>
      <c r="O16" s="62">
        <f>IF(CÁLCULO!O4&gt;0,PREMISSAS!$C$79*PREMISSAS!$C$105,0)</f>
        <v>129214.79150275369</v>
      </c>
      <c r="P16" s="62">
        <f>IF(CÁLCULO!P4&gt;0,PREMISSAS!$C$79*PREMISSAS!$C$105,0)</f>
        <v>129214.79150275369</v>
      </c>
      <c r="Q16" s="62">
        <f>IF(CÁLCULO!Q4&gt;0,PREMISSAS!$C$79*PREMISSAS!$C$105,0)</f>
        <v>129214.79150275369</v>
      </c>
      <c r="R16" s="62">
        <f>IF(CÁLCULO!R4&gt;0,PREMISSAS!$C$79*PREMISSAS!$C$105,0)</f>
        <v>129214.79150275369</v>
      </c>
      <c r="S16" s="62">
        <f>IF(CÁLCULO!S4&gt;0,PREMISSAS!$C$79*PREMISSAS!$C$105,0)</f>
        <v>129214.79150275369</v>
      </c>
      <c r="T16" s="62">
        <f>IF(CÁLCULO!T4&gt;0,PREMISSAS!$C$79*PREMISSAS!$C$105,0)</f>
        <v>129214.79150275369</v>
      </c>
      <c r="U16" s="62">
        <f>IF(CÁLCULO!U4&gt;0,PREMISSAS!$C$79*PREMISSAS!$C$105,0)</f>
        <v>129214.79150275369</v>
      </c>
      <c r="V16" s="62">
        <f>IF(CÁLCULO!V4&gt;0,PREMISSAS!$C$79*PREMISSAS!$C$105,0)</f>
        <v>129214.79150275369</v>
      </c>
      <c r="W16" s="62">
        <f>IF(CÁLCULO!W4&gt;0,PREMISSAS!$C$79*PREMISSAS!$C$105,0)</f>
        <v>129214.79150275369</v>
      </c>
      <c r="X16" s="62">
        <f>IF(CÁLCULO!X4&gt;0,PREMISSAS!$C$79*PREMISSAS!$C$105,0)</f>
        <v>129214.79150275369</v>
      </c>
      <c r="Y16" s="62">
        <f>IF(CÁLCULO!Y4&gt;0,PREMISSAS!$C$79*PREMISSAS!$C$105,0)</f>
        <v>129214.79150275369</v>
      </c>
    </row>
    <row r="17" spans="1:25" ht="30" customHeight="1">
      <c r="A17" s="99"/>
      <c r="B17" s="99" t="s">
        <v>647</v>
      </c>
      <c r="C17" s="99" t="s">
        <v>645</v>
      </c>
      <c r="D17" s="99" t="s">
        <v>648</v>
      </c>
      <c r="E17" s="99">
        <v>0</v>
      </c>
      <c r="F17" s="99">
        <f>PREMISSAS!$C$55</f>
        <v>100000</v>
      </c>
      <c r="G17" s="99">
        <f>PREMISSAS!$C$55</f>
        <v>100000</v>
      </c>
      <c r="H17" s="99">
        <f>PREMISSAS!$C$55</f>
        <v>100000</v>
      </c>
      <c r="I17" s="99">
        <f>PREMISSAS!$C$55</f>
        <v>100000</v>
      </c>
      <c r="J17" s="99">
        <f>PREMISSAS!$C$55</f>
        <v>100000</v>
      </c>
      <c r="K17" s="99">
        <f>PREMISSAS!$C$55</f>
        <v>100000</v>
      </c>
      <c r="L17" s="99">
        <f>PREMISSAS!$C$55</f>
        <v>100000</v>
      </c>
      <c r="M17" s="99">
        <f>PREMISSAS!$C$55</f>
        <v>100000</v>
      </c>
      <c r="N17" s="99">
        <f>PREMISSAS!$C$55</f>
        <v>100000</v>
      </c>
      <c r="O17" s="99">
        <f>PREMISSAS!$C$55</f>
        <v>100000</v>
      </c>
      <c r="P17" s="99">
        <f>PREMISSAS!$C$55</f>
        <v>100000</v>
      </c>
      <c r="Q17" s="99">
        <f>PREMISSAS!$C$55</f>
        <v>100000</v>
      </c>
      <c r="R17" s="99">
        <f>PREMISSAS!$C$55</f>
        <v>100000</v>
      </c>
      <c r="S17" s="99">
        <f>PREMISSAS!$C$55</f>
        <v>100000</v>
      </c>
      <c r="T17" s="99">
        <f>PREMISSAS!$C$55</f>
        <v>100000</v>
      </c>
      <c r="U17" s="99">
        <f>PREMISSAS!$C$55</f>
        <v>100000</v>
      </c>
      <c r="V17" s="99">
        <f>PREMISSAS!$C$55</f>
        <v>100000</v>
      </c>
      <c r="W17" s="99">
        <f>PREMISSAS!$C$55</f>
        <v>100000</v>
      </c>
      <c r="X17" s="99">
        <f>PREMISSAS!$C$55</f>
        <v>100000</v>
      </c>
      <c r="Y17" s="99">
        <f>PREMISSAS!$C$55</f>
        <v>100000</v>
      </c>
    </row>
    <row r="18" spans="1:25" ht="30" customHeight="1">
      <c r="A18" s="99"/>
      <c r="B18" s="99" t="s">
        <v>649</v>
      </c>
      <c r="C18" s="99" t="s">
        <v>645</v>
      </c>
      <c r="D18" s="99" t="s">
        <v>650</v>
      </c>
      <c r="E18" s="99">
        <v>0</v>
      </c>
      <c r="F18" s="99">
        <f>PREMISSAS!$C$56</f>
        <v>35000</v>
      </c>
      <c r="G18" s="99">
        <f>PREMISSAS!$C$56</f>
        <v>35000</v>
      </c>
      <c r="H18" s="99">
        <f>PREMISSAS!$C$56</f>
        <v>35000</v>
      </c>
      <c r="I18" s="99">
        <f>PREMISSAS!$C$56</f>
        <v>35000</v>
      </c>
      <c r="J18" s="99">
        <f>PREMISSAS!$C$56</f>
        <v>35000</v>
      </c>
      <c r="K18" s="99">
        <f>PREMISSAS!$C$56</f>
        <v>35000</v>
      </c>
      <c r="L18" s="99">
        <f>PREMISSAS!$C$56</f>
        <v>35000</v>
      </c>
      <c r="M18" s="99">
        <f>PREMISSAS!$C$56</f>
        <v>35000</v>
      </c>
      <c r="N18" s="99">
        <f>PREMISSAS!$C$56</f>
        <v>35000</v>
      </c>
      <c r="O18" s="99">
        <f>PREMISSAS!$C$56</f>
        <v>35000</v>
      </c>
      <c r="P18" s="99">
        <f>PREMISSAS!$C$56</f>
        <v>35000</v>
      </c>
      <c r="Q18" s="99">
        <f>PREMISSAS!$C$56</f>
        <v>35000</v>
      </c>
      <c r="R18" s="99">
        <f>PREMISSAS!$C$56</f>
        <v>35000</v>
      </c>
      <c r="S18" s="99">
        <f>PREMISSAS!$C$56</f>
        <v>35000</v>
      </c>
      <c r="T18" s="99">
        <f>PREMISSAS!$C$56</f>
        <v>35000</v>
      </c>
      <c r="U18" s="99">
        <f>PREMISSAS!$C$56</f>
        <v>35000</v>
      </c>
      <c r="V18" s="99">
        <f>PREMISSAS!$C$56</f>
        <v>35000</v>
      </c>
      <c r="W18" s="99">
        <f>PREMISSAS!$C$56</f>
        <v>35000</v>
      </c>
      <c r="X18" s="99">
        <f>PREMISSAS!$C$56</f>
        <v>35000</v>
      </c>
      <c r="Y18" s="99">
        <f>PREMISSAS!$C$56</f>
        <v>35000</v>
      </c>
    </row>
    <row r="19" spans="1:25" ht="30" customHeight="1">
      <c r="A19" s="99"/>
      <c r="B19" s="99" t="s">
        <v>651</v>
      </c>
      <c r="C19" s="99" t="s">
        <v>645</v>
      </c>
      <c r="D19" s="99" t="s">
        <v>652</v>
      </c>
      <c r="E19" s="99">
        <v>0</v>
      </c>
      <c r="F19" s="99">
        <f>PREMISSAS!$C$59</f>
        <v>10000</v>
      </c>
      <c r="G19" s="99">
        <f>PREMISSAS!$C$59</f>
        <v>10000</v>
      </c>
      <c r="H19" s="99">
        <f>PREMISSAS!$C$59</f>
        <v>10000</v>
      </c>
      <c r="I19" s="99">
        <f>PREMISSAS!$C$59</f>
        <v>10000</v>
      </c>
      <c r="J19" s="99">
        <f>PREMISSAS!$C$59</f>
        <v>10000</v>
      </c>
      <c r="K19" s="99">
        <f>PREMISSAS!$C$59</f>
        <v>10000</v>
      </c>
      <c r="L19" s="99">
        <f>PREMISSAS!$C$59</f>
        <v>10000</v>
      </c>
      <c r="M19" s="99">
        <f>PREMISSAS!$C$59</f>
        <v>10000</v>
      </c>
      <c r="N19" s="99">
        <f>PREMISSAS!$C$59</f>
        <v>10000</v>
      </c>
      <c r="O19" s="99">
        <f>PREMISSAS!$C$59</f>
        <v>10000</v>
      </c>
      <c r="P19" s="99">
        <f>PREMISSAS!$C$59</f>
        <v>10000</v>
      </c>
      <c r="Q19" s="99">
        <f>PREMISSAS!$C$59</f>
        <v>10000</v>
      </c>
      <c r="R19" s="99">
        <f>PREMISSAS!$C$59</f>
        <v>10000</v>
      </c>
      <c r="S19" s="99">
        <f>PREMISSAS!$C$59</f>
        <v>10000</v>
      </c>
      <c r="T19" s="99">
        <f>PREMISSAS!$C$59</f>
        <v>10000</v>
      </c>
      <c r="U19" s="99">
        <f>PREMISSAS!$C$59</f>
        <v>10000</v>
      </c>
      <c r="V19" s="99">
        <f>PREMISSAS!$C$59</f>
        <v>10000</v>
      </c>
      <c r="W19" s="99">
        <f>PREMISSAS!$C$59</f>
        <v>10000</v>
      </c>
      <c r="X19" s="99">
        <f>PREMISSAS!$C$59</f>
        <v>10000</v>
      </c>
      <c r="Y19" s="99">
        <f>PREMISSAS!$C$59</f>
        <v>10000</v>
      </c>
    </row>
    <row r="20" spans="1:25" ht="120" customHeight="1">
      <c r="A20" s="99"/>
      <c r="B20" s="99" t="s">
        <v>653</v>
      </c>
      <c r="C20" s="99" t="s">
        <v>654</v>
      </c>
      <c r="D20" s="99" t="s">
        <v>655</v>
      </c>
      <c r="E20" s="99">
        <v>0</v>
      </c>
      <c r="F20" s="99">
        <f>PREMISSAS!$C$82</f>
        <v>19669</v>
      </c>
      <c r="G20" s="99">
        <f>PREMISSAS!$C$82</f>
        <v>19669</v>
      </c>
      <c r="H20" s="99">
        <f>PREMISSAS!$C$82</f>
        <v>19669</v>
      </c>
      <c r="I20" s="99">
        <f>PREMISSAS!$C$82</f>
        <v>19669</v>
      </c>
      <c r="J20" s="99">
        <f>PREMISSAS!$C$82</f>
        <v>19669</v>
      </c>
      <c r="K20" s="99">
        <f>PREMISSAS!$C$82</f>
        <v>19669</v>
      </c>
      <c r="L20" s="99">
        <f>PREMISSAS!$C$82</f>
        <v>19669</v>
      </c>
      <c r="M20" s="99">
        <f>PREMISSAS!$C$82</f>
        <v>19669</v>
      </c>
      <c r="N20" s="99">
        <f>PREMISSAS!$C$82</f>
        <v>19669</v>
      </c>
      <c r="O20" s="99">
        <f>PREMISSAS!$C$82</f>
        <v>19669</v>
      </c>
      <c r="P20" s="99">
        <f>PREMISSAS!$C$82</f>
        <v>19669</v>
      </c>
      <c r="Q20" s="99">
        <f>PREMISSAS!$C$82</f>
        <v>19669</v>
      </c>
      <c r="R20" s="99">
        <f>PREMISSAS!$C$82</f>
        <v>19669</v>
      </c>
      <c r="S20" s="99">
        <f>PREMISSAS!$C$82</f>
        <v>19669</v>
      </c>
      <c r="T20" s="99">
        <f>PREMISSAS!$C$82</f>
        <v>19669</v>
      </c>
      <c r="U20" s="99">
        <f>PREMISSAS!$C$82</f>
        <v>19669</v>
      </c>
      <c r="V20" s="99">
        <f>PREMISSAS!$C$82</f>
        <v>19669</v>
      </c>
      <c r="W20" s="99">
        <f>PREMISSAS!$C$82</f>
        <v>19669</v>
      </c>
      <c r="X20" s="99">
        <f>PREMISSAS!$C$82</f>
        <v>19669</v>
      </c>
      <c r="Y20" s="99">
        <f>PREMISSAS!$C$82</f>
        <v>19669</v>
      </c>
    </row>
    <row r="21" spans="1:25">
      <c r="A21" s="99"/>
      <c r="B21" s="63" t="s">
        <v>656</v>
      </c>
      <c r="C21" s="63"/>
      <c r="D21" s="63"/>
      <c r="E21" s="63">
        <v>0</v>
      </c>
      <c r="F21" s="63">
        <f t="shared" ref="F21:Y21" si="2">SUM(F16:F20)</f>
        <v>293883.79150275368</v>
      </c>
      <c r="G21" s="63">
        <f t="shared" si="2"/>
        <v>293883.79150275368</v>
      </c>
      <c r="H21" s="63">
        <f t="shared" si="2"/>
        <v>293883.79150275368</v>
      </c>
      <c r="I21" s="63">
        <f t="shared" si="2"/>
        <v>293883.79150275368</v>
      </c>
      <c r="J21" s="63">
        <f t="shared" si="2"/>
        <v>293883.79150275368</v>
      </c>
      <c r="K21" s="63">
        <f t="shared" si="2"/>
        <v>293883.79150275368</v>
      </c>
      <c r="L21" s="63">
        <f t="shared" si="2"/>
        <v>293883.79150275368</v>
      </c>
      <c r="M21" s="63">
        <f t="shared" si="2"/>
        <v>293883.79150275368</v>
      </c>
      <c r="N21" s="63">
        <f t="shared" si="2"/>
        <v>293883.79150275368</v>
      </c>
      <c r="O21" s="63">
        <f t="shared" si="2"/>
        <v>293883.79150275368</v>
      </c>
      <c r="P21" s="63">
        <f t="shared" si="2"/>
        <v>293883.79150275368</v>
      </c>
      <c r="Q21" s="63">
        <f t="shared" si="2"/>
        <v>293883.79150275368</v>
      </c>
      <c r="R21" s="63">
        <f t="shared" si="2"/>
        <v>293883.79150275368</v>
      </c>
      <c r="S21" s="63">
        <f t="shared" si="2"/>
        <v>293883.79150275368</v>
      </c>
      <c r="T21" s="63">
        <f t="shared" si="2"/>
        <v>293883.79150275368</v>
      </c>
      <c r="U21" s="63">
        <f t="shared" si="2"/>
        <v>293883.79150275368</v>
      </c>
      <c r="V21" s="63">
        <f t="shared" si="2"/>
        <v>293883.79150275368</v>
      </c>
      <c r="W21" s="63">
        <f t="shared" si="2"/>
        <v>293883.79150275368</v>
      </c>
      <c r="X21" s="63">
        <f t="shared" si="2"/>
        <v>293883.79150275368</v>
      </c>
      <c r="Y21" s="63">
        <f t="shared" si="2"/>
        <v>293883.79150275368</v>
      </c>
    </row>
    <row r="22" spans="1:25">
      <c r="A22" s="99"/>
      <c r="B22" s="67" t="s">
        <v>657</v>
      </c>
      <c r="C22" s="67"/>
      <c r="D22" s="67"/>
      <c r="E22" s="67">
        <v>0</v>
      </c>
      <c r="F22" s="67">
        <f t="shared" ref="F22:Y22" si="3">F10+F14+F21</f>
        <v>1734535.5068428307</v>
      </c>
      <c r="G22" s="67">
        <f t="shared" si="3"/>
        <v>1756635.5068428307</v>
      </c>
      <c r="H22" s="67">
        <f t="shared" si="3"/>
        <v>1778735.5068428307</v>
      </c>
      <c r="I22" s="67">
        <f t="shared" si="3"/>
        <v>1800835.5068428307</v>
      </c>
      <c r="J22" s="67">
        <f t="shared" si="3"/>
        <v>1822935.5068428307</v>
      </c>
      <c r="K22" s="67">
        <f t="shared" si="3"/>
        <v>1845035.5068428307</v>
      </c>
      <c r="L22" s="67">
        <f t="shared" si="3"/>
        <v>1867135.5068428307</v>
      </c>
      <c r="M22" s="67">
        <f t="shared" si="3"/>
        <v>1889235.5068428307</v>
      </c>
      <c r="N22" s="67">
        <f t="shared" si="3"/>
        <v>1911335.5068428307</v>
      </c>
      <c r="O22" s="67">
        <f t="shared" si="3"/>
        <v>1933435.5068428307</v>
      </c>
      <c r="P22" s="67">
        <f t="shared" si="3"/>
        <v>1933435.5068428307</v>
      </c>
      <c r="Q22" s="67">
        <f t="shared" si="3"/>
        <v>1933435.5068428307</v>
      </c>
      <c r="R22" s="67">
        <f t="shared" si="3"/>
        <v>1933435.5068428307</v>
      </c>
      <c r="S22" s="67">
        <f t="shared" si="3"/>
        <v>1933435.5068428307</v>
      </c>
      <c r="T22" s="67">
        <f t="shared" si="3"/>
        <v>1933435.5068428307</v>
      </c>
      <c r="U22" s="67">
        <f t="shared" si="3"/>
        <v>1933435.5068428307</v>
      </c>
      <c r="V22" s="67">
        <f t="shared" si="3"/>
        <v>1933435.5068428307</v>
      </c>
      <c r="W22" s="67">
        <f t="shared" si="3"/>
        <v>1933435.5068428307</v>
      </c>
      <c r="X22" s="67">
        <f t="shared" si="3"/>
        <v>1933435.5068428307</v>
      </c>
      <c r="Y22" s="67">
        <f t="shared" si="3"/>
        <v>1933435.5068428307</v>
      </c>
    </row>
    <row r="25" spans="1:25">
      <c r="B25" s="175" t="s">
        <v>658</v>
      </c>
      <c r="C25" s="172"/>
      <c r="D25" s="172"/>
      <c r="E25" s="172"/>
      <c r="F25" s="172"/>
      <c r="G25" s="172"/>
    </row>
    <row r="26" spans="1:25">
      <c r="B26" s="155" t="s">
        <v>659</v>
      </c>
      <c r="C26" s="155" t="s">
        <v>660</v>
      </c>
      <c r="D26" s="155" t="s">
        <v>661</v>
      </c>
      <c r="E26" s="155" t="s">
        <v>662</v>
      </c>
      <c r="F26" s="156" t="s">
        <v>663</v>
      </c>
      <c r="G26" s="156" t="s">
        <v>664</v>
      </c>
    </row>
    <row r="27" spans="1:25">
      <c r="B27" s="157">
        <v>2027</v>
      </c>
      <c r="C27" s="157">
        <v>1</v>
      </c>
      <c r="D27" s="158">
        <f>MIN(C27,10)*PREMISSAS!$C$52</f>
        <v>0.01</v>
      </c>
      <c r="E27" s="159">
        <f>CAPEX!$C$6</f>
        <v>2210000</v>
      </c>
      <c r="F27" s="159">
        <f>OPEX!F$13</f>
        <v>22100</v>
      </c>
      <c r="G27" s="160" t="str">
        <f t="shared" ref="G27:G46" si="4">TEXT(D27,"0%")&amp;" x CAPEX do reator"</f>
        <v>1% x CAPEX do reator</v>
      </c>
    </row>
    <row r="28" spans="1:25">
      <c r="B28" s="157">
        <v>2028</v>
      </c>
      <c r="C28" s="157">
        <v>2</v>
      </c>
      <c r="D28" s="158">
        <f>MIN(C28,10)*PREMISSAS!$C$52</f>
        <v>0.02</v>
      </c>
      <c r="E28" s="159">
        <f>CAPEX!$C$6</f>
        <v>2210000</v>
      </c>
      <c r="F28" s="159">
        <f>OPEX!G$13</f>
        <v>44200</v>
      </c>
      <c r="G28" s="160" t="str">
        <f t="shared" si="4"/>
        <v>2% x CAPEX do reator</v>
      </c>
    </row>
    <row r="29" spans="1:25">
      <c r="B29" s="157">
        <v>2029</v>
      </c>
      <c r="C29" s="157">
        <v>3</v>
      </c>
      <c r="D29" s="158">
        <f>MIN(C29,10)*PREMISSAS!$C$52</f>
        <v>0.03</v>
      </c>
      <c r="E29" s="159">
        <f>CAPEX!$C$6</f>
        <v>2210000</v>
      </c>
      <c r="F29" s="159">
        <f>OPEX!H$13</f>
        <v>66300</v>
      </c>
      <c r="G29" s="160" t="str">
        <f t="shared" si="4"/>
        <v>3% x CAPEX do reator</v>
      </c>
    </row>
    <row r="30" spans="1:25">
      <c r="B30" s="157">
        <v>2030</v>
      </c>
      <c r="C30" s="157">
        <v>4</v>
      </c>
      <c r="D30" s="158">
        <f>MIN(C30,10)*PREMISSAS!$C$52</f>
        <v>0.04</v>
      </c>
      <c r="E30" s="159">
        <f>CAPEX!$C$6</f>
        <v>2210000</v>
      </c>
      <c r="F30" s="159">
        <f>OPEX!I$13</f>
        <v>88400</v>
      </c>
      <c r="G30" s="160" t="str">
        <f t="shared" si="4"/>
        <v>4% x CAPEX do reator</v>
      </c>
    </row>
    <row r="31" spans="1:25">
      <c r="B31" s="157">
        <v>2031</v>
      </c>
      <c r="C31" s="157">
        <v>5</v>
      </c>
      <c r="D31" s="158">
        <f>MIN(C31,10)*PREMISSAS!$C$52</f>
        <v>0.05</v>
      </c>
      <c r="E31" s="159">
        <f>CAPEX!$C$6</f>
        <v>2210000</v>
      </c>
      <c r="F31" s="159">
        <f>OPEX!J$13</f>
        <v>110500</v>
      </c>
      <c r="G31" s="160" t="str">
        <f t="shared" si="4"/>
        <v>5% x CAPEX do reator</v>
      </c>
    </row>
    <row r="32" spans="1:25">
      <c r="B32" s="157">
        <v>2032</v>
      </c>
      <c r="C32" s="157">
        <v>6</v>
      </c>
      <c r="D32" s="158">
        <f>MIN(C32,10)*PREMISSAS!$C$52</f>
        <v>0.06</v>
      </c>
      <c r="E32" s="159">
        <f>CAPEX!$C$6</f>
        <v>2210000</v>
      </c>
      <c r="F32" s="159">
        <f>OPEX!K$13</f>
        <v>132600</v>
      </c>
      <c r="G32" s="160" t="str">
        <f t="shared" si="4"/>
        <v>6% x CAPEX do reator</v>
      </c>
    </row>
    <row r="33" spans="2:7">
      <c r="B33" s="157">
        <v>2033</v>
      </c>
      <c r="C33" s="157">
        <v>7</v>
      </c>
      <c r="D33" s="158">
        <f>MIN(C33,10)*PREMISSAS!$C$52</f>
        <v>7.0000000000000007E-2</v>
      </c>
      <c r="E33" s="159">
        <f>CAPEX!$C$6</f>
        <v>2210000</v>
      </c>
      <c r="F33" s="159">
        <f>OPEX!L$13</f>
        <v>154700.00000000003</v>
      </c>
      <c r="G33" s="160" t="str">
        <f t="shared" si="4"/>
        <v>7% x CAPEX do reator</v>
      </c>
    </row>
    <row r="34" spans="2:7">
      <c r="B34" s="157">
        <v>2034</v>
      </c>
      <c r="C34" s="157">
        <v>8</v>
      </c>
      <c r="D34" s="158">
        <f>MIN(C34,10)*PREMISSAS!$C$52</f>
        <v>0.08</v>
      </c>
      <c r="E34" s="159">
        <f>CAPEX!$C$6</f>
        <v>2210000</v>
      </c>
      <c r="F34" s="159">
        <f>OPEX!M$13</f>
        <v>176800</v>
      </c>
      <c r="G34" s="160" t="str">
        <f t="shared" si="4"/>
        <v>8% x CAPEX do reator</v>
      </c>
    </row>
    <row r="35" spans="2:7">
      <c r="B35" s="157">
        <v>2035</v>
      </c>
      <c r="C35" s="157">
        <v>9</v>
      </c>
      <c r="D35" s="158">
        <f>MIN(C35,10)*PREMISSAS!$C$52</f>
        <v>0.09</v>
      </c>
      <c r="E35" s="159">
        <f>CAPEX!$C$6</f>
        <v>2210000</v>
      </c>
      <c r="F35" s="159">
        <f>OPEX!N$13</f>
        <v>198900</v>
      </c>
      <c r="G35" s="160" t="str">
        <f t="shared" si="4"/>
        <v>9% x CAPEX do reator</v>
      </c>
    </row>
    <row r="36" spans="2:7">
      <c r="B36" s="161">
        <v>2036</v>
      </c>
      <c r="C36" s="161">
        <v>10</v>
      </c>
      <c r="D36" s="162">
        <f>MIN(C36,10)*PREMISSAS!$C$52</f>
        <v>0.1</v>
      </c>
      <c r="E36" s="163">
        <f>CAPEX!$C$6</f>
        <v>2210000</v>
      </c>
      <c r="F36" s="163">
        <f>OPEX!O$13</f>
        <v>221000</v>
      </c>
      <c r="G36" s="164" t="str">
        <f t="shared" si="4"/>
        <v>10% x CAPEX do reator</v>
      </c>
    </row>
    <row r="37" spans="2:7">
      <c r="B37" s="161">
        <v>2037</v>
      </c>
      <c r="C37" s="161">
        <v>11</v>
      </c>
      <c r="D37" s="162">
        <f>MIN(C37,10)*PREMISSAS!$C$52</f>
        <v>0.1</v>
      </c>
      <c r="E37" s="163">
        <f>CAPEX!$C$6</f>
        <v>2210000</v>
      </c>
      <c r="F37" s="163">
        <f>OPEX!P$13</f>
        <v>221000</v>
      </c>
      <c r="G37" s="164" t="str">
        <f t="shared" si="4"/>
        <v>10% x CAPEX do reator</v>
      </c>
    </row>
    <row r="38" spans="2:7">
      <c r="B38" s="165">
        <v>2038</v>
      </c>
      <c r="C38" s="165">
        <v>12</v>
      </c>
      <c r="D38" s="166">
        <f>MIN(C38,10)*PREMISSAS!$C$52</f>
        <v>0.1</v>
      </c>
      <c r="E38" s="167">
        <f>CAPEX!$C$6</f>
        <v>2210000</v>
      </c>
      <c r="F38" s="167">
        <f>OPEX!Q$13</f>
        <v>221000</v>
      </c>
      <c r="G38" s="168" t="str">
        <f t="shared" si="4"/>
        <v>10% x CAPEX do reator</v>
      </c>
    </row>
    <row r="39" spans="2:7">
      <c r="B39" s="165">
        <v>2039</v>
      </c>
      <c r="C39" s="165">
        <v>13</v>
      </c>
      <c r="D39" s="166">
        <f>MIN(C39,10)*PREMISSAS!$C$52</f>
        <v>0.1</v>
      </c>
      <c r="E39" s="167">
        <f>CAPEX!$C$6</f>
        <v>2210000</v>
      </c>
      <c r="F39" s="167">
        <f>OPEX!R$13</f>
        <v>221000</v>
      </c>
      <c r="G39" s="168" t="str">
        <f t="shared" si="4"/>
        <v>10% x CAPEX do reator</v>
      </c>
    </row>
    <row r="40" spans="2:7">
      <c r="B40" s="165">
        <v>2040</v>
      </c>
      <c r="C40" s="165">
        <v>14</v>
      </c>
      <c r="D40" s="166">
        <f>MIN(C40,10)*PREMISSAS!$C$52</f>
        <v>0.1</v>
      </c>
      <c r="E40" s="167">
        <f>CAPEX!$C$6</f>
        <v>2210000</v>
      </c>
      <c r="F40" s="167">
        <f>OPEX!S$13</f>
        <v>221000</v>
      </c>
      <c r="G40" s="168" t="str">
        <f t="shared" si="4"/>
        <v>10% x CAPEX do reator</v>
      </c>
    </row>
    <row r="41" spans="2:7">
      <c r="B41" s="165">
        <v>2041</v>
      </c>
      <c r="C41" s="165">
        <v>15</v>
      </c>
      <c r="D41" s="166">
        <f>MIN(C41,10)*PREMISSAS!$C$52</f>
        <v>0.1</v>
      </c>
      <c r="E41" s="167">
        <f>CAPEX!$C$6</f>
        <v>2210000</v>
      </c>
      <c r="F41" s="167">
        <f>OPEX!T$13</f>
        <v>221000</v>
      </c>
      <c r="G41" s="168" t="str">
        <f t="shared" si="4"/>
        <v>10% x CAPEX do reator</v>
      </c>
    </row>
    <row r="42" spans="2:7">
      <c r="B42" s="165">
        <v>2042</v>
      </c>
      <c r="C42" s="165">
        <v>16</v>
      </c>
      <c r="D42" s="166">
        <f>MIN(C42,10)*PREMISSAS!$C$52</f>
        <v>0.1</v>
      </c>
      <c r="E42" s="167">
        <f>CAPEX!$C$6</f>
        <v>2210000</v>
      </c>
      <c r="F42" s="167">
        <f>OPEX!U$13</f>
        <v>221000</v>
      </c>
      <c r="G42" s="168" t="str">
        <f t="shared" si="4"/>
        <v>10% x CAPEX do reator</v>
      </c>
    </row>
    <row r="43" spans="2:7">
      <c r="B43" s="165">
        <v>2043</v>
      </c>
      <c r="C43" s="165">
        <v>17</v>
      </c>
      <c r="D43" s="166">
        <f>MIN(C43,10)*PREMISSAS!$C$52</f>
        <v>0.1</v>
      </c>
      <c r="E43" s="167">
        <f>CAPEX!$C$6</f>
        <v>2210000</v>
      </c>
      <c r="F43" s="167">
        <f>OPEX!V$13</f>
        <v>221000</v>
      </c>
      <c r="G43" s="168" t="str">
        <f t="shared" si="4"/>
        <v>10% x CAPEX do reator</v>
      </c>
    </row>
    <row r="44" spans="2:7">
      <c r="B44" s="165">
        <v>2044</v>
      </c>
      <c r="C44" s="165">
        <v>18</v>
      </c>
      <c r="D44" s="166">
        <f>MIN(C44,10)*PREMISSAS!$C$52</f>
        <v>0.1</v>
      </c>
      <c r="E44" s="167">
        <f>CAPEX!$C$6</f>
        <v>2210000</v>
      </c>
      <c r="F44" s="167">
        <f>OPEX!W$13</f>
        <v>221000</v>
      </c>
      <c r="G44" s="168" t="str">
        <f t="shared" si="4"/>
        <v>10% x CAPEX do reator</v>
      </c>
    </row>
    <row r="45" spans="2:7">
      <c r="B45" s="165">
        <v>2045</v>
      </c>
      <c r="C45" s="165">
        <v>19</v>
      </c>
      <c r="D45" s="166">
        <f>MIN(C45,10)*PREMISSAS!$C$52</f>
        <v>0.1</v>
      </c>
      <c r="E45" s="167">
        <f>CAPEX!$C$6</f>
        <v>2210000</v>
      </c>
      <c r="F45" s="167">
        <f>OPEX!X$13</f>
        <v>221000</v>
      </c>
      <c r="G45" s="168" t="str">
        <f t="shared" si="4"/>
        <v>10% x CAPEX do reator</v>
      </c>
    </row>
    <row r="46" spans="2:7">
      <c r="B46" s="165">
        <v>2046</v>
      </c>
      <c r="C46" s="165">
        <v>20</v>
      </c>
      <c r="D46" s="166">
        <f>MIN(C46,10)*PREMISSAS!$C$52</f>
        <v>0.1</v>
      </c>
      <c r="E46" s="167">
        <f>CAPEX!$C$6</f>
        <v>2210000</v>
      </c>
      <c r="F46" s="167">
        <f>OPEX!Y$13</f>
        <v>221000</v>
      </c>
      <c r="G46" s="168" t="str">
        <f t="shared" si="4"/>
        <v>10% x CAPEX do reator</v>
      </c>
    </row>
    <row r="47" spans="2:7">
      <c r="B47" s="169"/>
      <c r="C47" s="169"/>
      <c r="D47" s="169"/>
      <c r="E47" s="169"/>
      <c r="F47" s="170"/>
      <c r="G47" s="170"/>
    </row>
    <row r="48" spans="2:7">
      <c r="B48" s="174" t="s">
        <v>665</v>
      </c>
      <c r="C48" s="172"/>
      <c r="D48" s="172"/>
      <c r="E48" s="172"/>
      <c r="F48" s="172"/>
      <c r="G48" s="172"/>
    </row>
    <row r="49" spans="2:7">
      <c r="B49" s="170"/>
      <c r="C49" s="170"/>
      <c r="D49" s="170"/>
      <c r="E49" s="170"/>
      <c r="F49" s="170"/>
      <c r="G49" s="170"/>
    </row>
    <row r="50" spans="2:7">
      <c r="B50" s="170"/>
      <c r="C50" s="170"/>
      <c r="D50" s="170"/>
      <c r="E50" s="170"/>
      <c r="F50" s="170"/>
      <c r="G50" s="170"/>
    </row>
  </sheetData>
  <mergeCells count="2">
    <mergeCell ref="B48:G48"/>
    <mergeCell ref="B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80"/>
  </sheetPr>
  <dimension ref="B1:Y19"/>
  <sheetViews>
    <sheetView zoomScaleNormal="100" workbookViewId="0">
      <selection activeCell="E17" sqref="E17"/>
    </sheetView>
  </sheetViews>
  <sheetFormatPr defaultColWidth="8.7109375" defaultRowHeight="15"/>
  <cols>
    <col min="1" max="1" width="3" customWidth="1"/>
    <col min="2" max="2" width="48" customWidth="1"/>
    <col min="3" max="3" width="18" customWidth="1"/>
    <col min="4" max="4" width="22" customWidth="1"/>
    <col min="5" max="25" width="16" customWidth="1"/>
  </cols>
  <sheetData>
    <row r="1" spans="2:25" ht="15.75" customHeight="1">
      <c r="B1" s="12" t="s">
        <v>666</v>
      </c>
    </row>
    <row r="2" spans="2:25">
      <c r="B2" s="8" t="s">
        <v>667</v>
      </c>
    </row>
    <row r="3" spans="2:25">
      <c r="B3" s="15" t="s">
        <v>568</v>
      </c>
      <c r="C3" s="15" t="s">
        <v>569</v>
      </c>
      <c r="D3" s="15" t="s">
        <v>494</v>
      </c>
      <c r="E3" s="15" t="s">
        <v>495</v>
      </c>
      <c r="F3" s="15" t="s">
        <v>496</v>
      </c>
      <c r="G3" s="15" t="s">
        <v>497</v>
      </c>
      <c r="H3" s="15" t="s">
        <v>498</v>
      </c>
      <c r="I3" s="15" t="s">
        <v>499</v>
      </c>
      <c r="J3" s="15" t="s">
        <v>500</v>
      </c>
      <c r="K3" s="15" t="s">
        <v>501</v>
      </c>
      <c r="L3" s="15" t="s">
        <v>502</v>
      </c>
      <c r="M3" s="15" t="s">
        <v>503</v>
      </c>
      <c r="N3" s="15" t="s">
        <v>504</v>
      </c>
      <c r="O3" s="15" t="s">
        <v>505</v>
      </c>
      <c r="P3" s="15" t="s">
        <v>506</v>
      </c>
      <c r="Q3" s="15" t="s">
        <v>507</v>
      </c>
      <c r="R3" s="15" t="s">
        <v>508</v>
      </c>
      <c r="S3" s="15" t="s">
        <v>509</v>
      </c>
      <c r="T3" s="15" t="s">
        <v>510</v>
      </c>
      <c r="U3" s="15" t="s">
        <v>511</v>
      </c>
      <c r="V3" s="15" t="s">
        <v>512</v>
      </c>
      <c r="W3" s="15" t="s">
        <v>513</v>
      </c>
      <c r="X3" s="15" t="s">
        <v>514</v>
      </c>
      <c r="Y3" s="15" t="s">
        <v>515</v>
      </c>
    </row>
    <row r="4" spans="2:25">
      <c r="B4" s="5" t="s">
        <v>668</v>
      </c>
      <c r="C4" s="8" t="s">
        <v>60</v>
      </c>
      <c r="D4" s="8" t="s">
        <v>669</v>
      </c>
      <c r="E4" s="17">
        <f>-CAPEX!$C$16</f>
        <v>-5498000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</row>
    <row r="5" spans="2:25">
      <c r="B5" s="5" t="s">
        <v>670</v>
      </c>
      <c r="C5" s="8" t="s">
        <v>64</v>
      </c>
      <c r="D5" s="8" t="s">
        <v>671</v>
      </c>
      <c r="E5" s="17">
        <v>0</v>
      </c>
      <c r="F5" s="17">
        <f>RECEITA!F5</f>
        <v>2897370.4800660484</v>
      </c>
      <c r="G5" s="17">
        <f>RECEITA!G5</f>
        <v>2897370.4800660484</v>
      </c>
      <c r="H5" s="17">
        <f>RECEITA!H5</f>
        <v>2897370.4800660484</v>
      </c>
      <c r="I5" s="17">
        <f>RECEITA!I5</f>
        <v>2897370.4800660484</v>
      </c>
      <c r="J5" s="17">
        <f>RECEITA!J5</f>
        <v>2897370.4800660484</v>
      </c>
      <c r="K5" s="17">
        <f>RECEITA!K5</f>
        <v>2897370.4800660484</v>
      </c>
      <c r="L5" s="17">
        <f>RECEITA!L5</f>
        <v>2897370.4800660484</v>
      </c>
      <c r="M5" s="17">
        <f>RECEITA!M5</f>
        <v>2897370.4800660484</v>
      </c>
      <c r="N5" s="17">
        <f>RECEITA!N5</f>
        <v>2897370.4800660484</v>
      </c>
      <c r="O5" s="17">
        <f>RECEITA!O5</f>
        <v>2897370.4800660484</v>
      </c>
      <c r="P5" s="17">
        <f>RECEITA!P5</f>
        <v>2897370.4800660484</v>
      </c>
      <c r="Q5" s="17">
        <f>RECEITA!Q5</f>
        <v>2897370.4800660484</v>
      </c>
      <c r="R5" s="17">
        <f>RECEITA!R5</f>
        <v>2897370.4800660484</v>
      </c>
      <c r="S5" s="17">
        <f>RECEITA!S5</f>
        <v>2897370.4800660484</v>
      </c>
      <c r="T5" s="17">
        <f>RECEITA!T5</f>
        <v>2897370.4800660484</v>
      </c>
      <c r="U5" s="17">
        <f>RECEITA!U5</f>
        <v>2897370.4800660484</v>
      </c>
      <c r="V5" s="17">
        <f>RECEITA!V5</f>
        <v>2897370.4800660484</v>
      </c>
      <c r="W5" s="17">
        <f>RECEITA!W5</f>
        <v>2897370.4800660484</v>
      </c>
      <c r="X5" s="17">
        <f>RECEITA!X5</f>
        <v>2897370.4800660484</v>
      </c>
      <c r="Y5" s="17">
        <f>RECEITA!Y5</f>
        <v>2897370.4800660484</v>
      </c>
    </row>
    <row r="6" spans="2:25">
      <c r="B6" s="5" t="s">
        <v>672</v>
      </c>
      <c r="C6" s="8" t="s">
        <v>64</v>
      </c>
      <c r="D6" s="8" t="s">
        <v>673</v>
      </c>
      <c r="E6" s="17">
        <v>0</v>
      </c>
      <c r="F6" s="17">
        <f>RECEITA!F6</f>
        <v>0</v>
      </c>
      <c r="G6" s="17">
        <f>RECEITA!G6</f>
        <v>0</v>
      </c>
      <c r="H6" s="17">
        <f>RECEITA!H6</f>
        <v>0</v>
      </c>
      <c r="I6" s="17">
        <f>RECEITA!I6</f>
        <v>0</v>
      </c>
      <c r="J6" s="17">
        <f>RECEITA!J6</f>
        <v>0</v>
      </c>
      <c r="K6" s="17">
        <f>RECEITA!K6</f>
        <v>0</v>
      </c>
      <c r="L6" s="17">
        <f>RECEITA!L6</f>
        <v>0</v>
      </c>
      <c r="M6" s="17">
        <f>RECEITA!M6</f>
        <v>0</v>
      </c>
      <c r="N6" s="17">
        <f>RECEITA!N6</f>
        <v>0</v>
      </c>
      <c r="O6" s="17">
        <f>RECEITA!O6</f>
        <v>0</v>
      </c>
      <c r="P6" s="17">
        <f>RECEITA!P6</f>
        <v>0</v>
      </c>
      <c r="Q6" s="17">
        <f>RECEITA!Q6</f>
        <v>0</v>
      </c>
      <c r="R6" s="17">
        <f>RECEITA!R6</f>
        <v>0</v>
      </c>
      <c r="S6" s="17">
        <f>RECEITA!S6</f>
        <v>0</v>
      </c>
      <c r="T6" s="17">
        <f>RECEITA!T6</f>
        <v>0</v>
      </c>
      <c r="U6" s="17">
        <f>RECEITA!U6</f>
        <v>0</v>
      </c>
      <c r="V6" s="17">
        <f>RECEITA!V6</f>
        <v>0</v>
      </c>
      <c r="W6" s="17">
        <f>RECEITA!W6</f>
        <v>0</v>
      </c>
      <c r="X6" s="17">
        <f>RECEITA!X6</f>
        <v>0</v>
      </c>
      <c r="Y6" s="17">
        <f>RECEITA!Y6</f>
        <v>0</v>
      </c>
    </row>
    <row r="7" spans="2:25">
      <c r="B7" s="5" t="s">
        <v>674</v>
      </c>
      <c r="C7" s="8" t="s">
        <v>62</v>
      </c>
      <c r="D7" s="8" t="s">
        <v>675</v>
      </c>
      <c r="E7" s="17">
        <v>0</v>
      </c>
      <c r="F7" s="17">
        <f>-OPEX!F22</f>
        <v>-1734535.5068428307</v>
      </c>
      <c r="G7" s="17">
        <f>-OPEX!G22</f>
        <v>-1756635.5068428307</v>
      </c>
      <c r="H7" s="17">
        <f>-OPEX!H22</f>
        <v>-1778735.5068428307</v>
      </c>
      <c r="I7" s="17">
        <f>-OPEX!I22</f>
        <v>-1800835.5068428307</v>
      </c>
      <c r="J7" s="17">
        <f>-OPEX!J22</f>
        <v>-1822935.5068428307</v>
      </c>
      <c r="K7" s="17">
        <f>-OPEX!K22</f>
        <v>-1845035.5068428307</v>
      </c>
      <c r="L7" s="17">
        <f>-OPEX!L22</f>
        <v>-1867135.5068428307</v>
      </c>
      <c r="M7" s="17">
        <f>-OPEX!M22</f>
        <v>-1889235.5068428307</v>
      </c>
      <c r="N7" s="17">
        <f>-OPEX!N22</f>
        <v>-1911335.5068428307</v>
      </c>
      <c r="O7" s="17">
        <f>-OPEX!O22</f>
        <v>-1933435.5068428307</v>
      </c>
      <c r="P7" s="17">
        <f>-OPEX!P22</f>
        <v>-1933435.5068428307</v>
      </c>
      <c r="Q7" s="17">
        <f>-OPEX!Q22</f>
        <v>-1933435.5068428307</v>
      </c>
      <c r="R7" s="17">
        <f>-OPEX!R22</f>
        <v>-1933435.5068428307</v>
      </c>
      <c r="S7" s="17">
        <f>-OPEX!S22</f>
        <v>-1933435.5068428307</v>
      </c>
      <c r="T7" s="17">
        <f>-OPEX!T22</f>
        <v>-1933435.5068428307</v>
      </c>
      <c r="U7" s="17">
        <f>-OPEX!U22</f>
        <v>-1933435.5068428307</v>
      </c>
      <c r="V7" s="17">
        <f>-OPEX!V22</f>
        <v>-1933435.5068428307</v>
      </c>
      <c r="W7" s="17">
        <f>-OPEX!W22</f>
        <v>-1933435.5068428307</v>
      </c>
      <c r="X7" s="17">
        <f>-OPEX!X22</f>
        <v>-1933435.5068428307</v>
      </c>
      <c r="Y7" s="17">
        <f>-OPEX!Y22</f>
        <v>-1933435.5068428307</v>
      </c>
    </row>
    <row r="8" spans="2:25">
      <c r="B8" s="18" t="s">
        <v>25</v>
      </c>
      <c r="C8" s="18" t="s">
        <v>576</v>
      </c>
      <c r="D8" s="18" t="s">
        <v>676</v>
      </c>
      <c r="E8" s="19">
        <v>0</v>
      </c>
      <c r="F8" s="19">
        <f t="shared" ref="F8:Y8" si="0">F5+F6+F7</f>
        <v>1162834.9732232178</v>
      </c>
      <c r="G8" s="19">
        <f t="shared" si="0"/>
        <v>1140734.9732232178</v>
      </c>
      <c r="H8" s="19">
        <f t="shared" si="0"/>
        <v>1118634.9732232178</v>
      </c>
      <c r="I8" s="19">
        <f t="shared" si="0"/>
        <v>1096534.9732232178</v>
      </c>
      <c r="J8" s="19">
        <f t="shared" si="0"/>
        <v>1074434.9732232178</v>
      </c>
      <c r="K8" s="19">
        <f t="shared" si="0"/>
        <v>1052334.9732232178</v>
      </c>
      <c r="L8" s="19">
        <f t="shared" si="0"/>
        <v>1030234.9732232178</v>
      </c>
      <c r="M8" s="19">
        <f t="shared" si="0"/>
        <v>1008134.9732232178</v>
      </c>
      <c r="N8" s="19">
        <f t="shared" si="0"/>
        <v>986034.97322321776</v>
      </c>
      <c r="O8" s="19">
        <f t="shared" si="0"/>
        <v>963934.97322321776</v>
      </c>
      <c r="P8" s="19">
        <f t="shared" si="0"/>
        <v>963934.97322321776</v>
      </c>
      <c r="Q8" s="19">
        <f t="shared" si="0"/>
        <v>963934.97322321776</v>
      </c>
      <c r="R8" s="19">
        <f t="shared" si="0"/>
        <v>963934.97322321776</v>
      </c>
      <c r="S8" s="19">
        <f t="shared" si="0"/>
        <v>963934.97322321776</v>
      </c>
      <c r="T8" s="19">
        <f t="shared" si="0"/>
        <v>963934.97322321776</v>
      </c>
      <c r="U8" s="19">
        <f t="shared" si="0"/>
        <v>963934.97322321776</v>
      </c>
      <c r="V8" s="19">
        <f t="shared" si="0"/>
        <v>963934.97322321776</v>
      </c>
      <c r="W8" s="19">
        <f t="shared" si="0"/>
        <v>963934.97322321776</v>
      </c>
      <c r="X8" s="19">
        <f t="shared" si="0"/>
        <v>963934.97322321776</v>
      </c>
      <c r="Y8" s="19">
        <f t="shared" si="0"/>
        <v>963934.97322321776</v>
      </c>
    </row>
    <row r="9" spans="2:25">
      <c r="B9" s="16" t="s">
        <v>677</v>
      </c>
      <c r="C9" s="8"/>
      <c r="D9" s="8" t="s">
        <v>678</v>
      </c>
      <c r="E9" s="20">
        <v>0</v>
      </c>
      <c r="F9" s="20">
        <f t="shared" ref="F9:Y9" si="1">IF(F5&lt;&gt;0,F8/F5,0)</f>
        <v>0.40134148574493306</v>
      </c>
      <c r="G9" s="20">
        <f t="shared" si="1"/>
        <v>0.39371387990299866</v>
      </c>
      <c r="H9" s="20">
        <f t="shared" si="1"/>
        <v>0.38608627406106427</v>
      </c>
      <c r="I9" s="20">
        <f t="shared" si="1"/>
        <v>0.37845866821912988</v>
      </c>
      <c r="J9" s="20">
        <f t="shared" si="1"/>
        <v>0.37083106237719554</v>
      </c>
      <c r="K9" s="20">
        <f t="shared" si="1"/>
        <v>0.36320345653526115</v>
      </c>
      <c r="L9" s="20">
        <f t="shared" si="1"/>
        <v>0.35557585069332676</v>
      </c>
      <c r="M9" s="20">
        <f t="shared" si="1"/>
        <v>0.34794824485139242</v>
      </c>
      <c r="N9" s="20">
        <f t="shared" si="1"/>
        <v>0.34032063900945803</v>
      </c>
      <c r="O9" s="20">
        <f t="shared" si="1"/>
        <v>0.33269303316752363</v>
      </c>
      <c r="P9" s="20">
        <f t="shared" si="1"/>
        <v>0.33269303316752363</v>
      </c>
      <c r="Q9" s="20">
        <f t="shared" si="1"/>
        <v>0.33269303316752363</v>
      </c>
      <c r="R9" s="20">
        <f t="shared" si="1"/>
        <v>0.33269303316752363</v>
      </c>
      <c r="S9" s="20">
        <f t="shared" si="1"/>
        <v>0.33269303316752363</v>
      </c>
      <c r="T9" s="20">
        <f t="shared" si="1"/>
        <v>0.33269303316752363</v>
      </c>
      <c r="U9" s="20">
        <f t="shared" si="1"/>
        <v>0.33269303316752363</v>
      </c>
      <c r="V9" s="20">
        <f t="shared" si="1"/>
        <v>0.33269303316752363</v>
      </c>
      <c r="W9" s="20">
        <f t="shared" si="1"/>
        <v>0.33269303316752363</v>
      </c>
      <c r="X9" s="20">
        <f t="shared" si="1"/>
        <v>0.33269303316752363</v>
      </c>
      <c r="Y9" s="20">
        <f t="shared" si="1"/>
        <v>0.33269303316752363</v>
      </c>
    </row>
    <row r="10" spans="2:25">
      <c r="B10" s="5" t="s">
        <v>679</v>
      </c>
      <c r="C10" s="8" t="s">
        <v>60</v>
      </c>
      <c r="D10" s="8" t="s">
        <v>680</v>
      </c>
      <c r="E10" s="17">
        <f>-CAPEX!E24</f>
        <v>0</v>
      </c>
      <c r="F10" s="17">
        <f>-CAPEX!F24</f>
        <v>-223100</v>
      </c>
      <c r="G10" s="17">
        <f>-CAPEX!G24</f>
        <v>-223100</v>
      </c>
      <c r="H10" s="17">
        <f>-CAPEX!H24</f>
        <v>-223100</v>
      </c>
      <c r="I10" s="17">
        <f>-CAPEX!I24</f>
        <v>-223100</v>
      </c>
      <c r="J10" s="17">
        <f>-CAPEX!J24</f>
        <v>-223100</v>
      </c>
      <c r="K10" s="17">
        <f>-CAPEX!K24</f>
        <v>-223100</v>
      </c>
      <c r="L10" s="17">
        <f>-CAPEX!L24</f>
        <v>-223100</v>
      </c>
      <c r="M10" s="17">
        <f>-CAPEX!M24</f>
        <v>-223100</v>
      </c>
      <c r="N10" s="17">
        <f>-CAPEX!N24</f>
        <v>-223100</v>
      </c>
      <c r="O10" s="17">
        <f>-CAPEX!O24</f>
        <v>-223100</v>
      </c>
      <c r="P10" s="17">
        <f>-CAPEX!P24</f>
        <v>-223100</v>
      </c>
      <c r="Q10" s="17">
        <f>-CAPEX!Q24</f>
        <v>-223100</v>
      </c>
      <c r="R10" s="17">
        <f>-CAPEX!R24</f>
        <v>-223100</v>
      </c>
      <c r="S10" s="17">
        <f>-CAPEX!S24</f>
        <v>-223100</v>
      </c>
      <c r="T10" s="17">
        <f>-CAPEX!T24</f>
        <v>-223100</v>
      </c>
      <c r="U10" s="17">
        <f>-CAPEX!U24</f>
        <v>-223100</v>
      </c>
      <c r="V10" s="17">
        <f>-CAPEX!V24</f>
        <v>-223100</v>
      </c>
      <c r="W10" s="17">
        <f>-CAPEX!W24</f>
        <v>-223100</v>
      </c>
      <c r="X10" s="17">
        <f>-CAPEX!X24</f>
        <v>-223100</v>
      </c>
      <c r="Y10" s="17">
        <f>-CAPEX!Y24</f>
        <v>-223100</v>
      </c>
    </row>
    <row r="11" spans="2:25">
      <c r="B11" s="22" t="s">
        <v>234</v>
      </c>
      <c r="C11" s="8" t="s">
        <v>576</v>
      </c>
      <c r="D11" s="8" t="s">
        <v>681</v>
      </c>
      <c r="E11" s="17">
        <v>0</v>
      </c>
      <c r="F11" s="17">
        <f t="shared" ref="F11:Y11" si="2">F8+F10</f>
        <v>939734.97322321776</v>
      </c>
      <c r="G11" s="17">
        <f t="shared" si="2"/>
        <v>917634.97322321776</v>
      </c>
      <c r="H11" s="17">
        <f t="shared" si="2"/>
        <v>895534.97322321776</v>
      </c>
      <c r="I11" s="17">
        <f t="shared" si="2"/>
        <v>873434.97322321776</v>
      </c>
      <c r="J11" s="17">
        <f t="shared" si="2"/>
        <v>851334.97322321776</v>
      </c>
      <c r="K11" s="17">
        <f t="shared" si="2"/>
        <v>829234.97322321776</v>
      </c>
      <c r="L11" s="17">
        <f t="shared" si="2"/>
        <v>807134.97322321776</v>
      </c>
      <c r="M11" s="17">
        <f t="shared" si="2"/>
        <v>785034.97322321776</v>
      </c>
      <c r="N11" s="17">
        <f t="shared" si="2"/>
        <v>762934.97322321776</v>
      </c>
      <c r="O11" s="17">
        <f t="shared" si="2"/>
        <v>740834.97322321776</v>
      </c>
      <c r="P11" s="17">
        <f t="shared" si="2"/>
        <v>740834.97322321776</v>
      </c>
      <c r="Q11" s="17">
        <f t="shared" si="2"/>
        <v>740834.97322321776</v>
      </c>
      <c r="R11" s="17">
        <f t="shared" si="2"/>
        <v>740834.97322321776</v>
      </c>
      <c r="S11" s="17">
        <f t="shared" si="2"/>
        <v>740834.97322321776</v>
      </c>
      <c r="T11" s="17">
        <f t="shared" si="2"/>
        <v>740834.97322321776</v>
      </c>
      <c r="U11" s="17">
        <f t="shared" si="2"/>
        <v>740834.97322321776</v>
      </c>
      <c r="V11" s="17">
        <f t="shared" si="2"/>
        <v>740834.97322321776</v>
      </c>
      <c r="W11" s="17">
        <f t="shared" si="2"/>
        <v>740834.97322321776</v>
      </c>
      <c r="X11" s="17">
        <f t="shared" si="2"/>
        <v>740834.97322321776</v>
      </c>
      <c r="Y11" s="17">
        <f t="shared" si="2"/>
        <v>740834.97322321776</v>
      </c>
    </row>
    <row r="12" spans="2:25">
      <c r="B12" s="5" t="s">
        <v>682</v>
      </c>
      <c r="C12" s="8" t="s">
        <v>683</v>
      </c>
      <c r="D12" s="8" t="s">
        <v>684</v>
      </c>
      <c r="E12" s="17">
        <f>-TRIBUTAÇÃO!E28</f>
        <v>0</v>
      </c>
      <c r="F12" s="17">
        <f>-TRIBUTAÇÃO!F28</f>
        <v>-563516.6603020035</v>
      </c>
      <c r="G12" s="17">
        <f>-TRIBUTAÇÃO!G28</f>
        <v>-556002.6603020035</v>
      </c>
      <c r="H12" s="17">
        <f>-TRIBUTAÇÃO!H28</f>
        <v>-548488.6603020035</v>
      </c>
      <c r="I12" s="17">
        <f>-TRIBUTAÇÃO!I28</f>
        <v>-540974.6603020035</v>
      </c>
      <c r="J12" s="17">
        <f>-TRIBUTAÇÃO!J28</f>
        <v>-533460.6603020035</v>
      </c>
      <c r="K12" s="17">
        <f>-TRIBUTAÇÃO!K28</f>
        <v>-525946.6603020035</v>
      </c>
      <c r="L12" s="17">
        <f>-TRIBUTAÇÃO!L28</f>
        <v>-518432.6603020035</v>
      </c>
      <c r="M12" s="17">
        <f>-TRIBUTAÇÃO!M28</f>
        <v>-510918.6603020035</v>
      </c>
      <c r="N12" s="17">
        <f>-TRIBUTAÇÃO!N28</f>
        <v>-503404.6603020035</v>
      </c>
      <c r="O12" s="17">
        <f>-TRIBUTAÇÃO!O28</f>
        <v>-495890.6603020035</v>
      </c>
      <c r="P12" s="17">
        <f>-TRIBUTAÇÃO!P28</f>
        <v>-495890.6603020035</v>
      </c>
      <c r="Q12" s="17">
        <f>-TRIBUTAÇÃO!Q28</f>
        <v>-495890.6603020035</v>
      </c>
      <c r="R12" s="17">
        <f>-TRIBUTAÇÃO!R28</f>
        <v>-495890.6603020035</v>
      </c>
      <c r="S12" s="17">
        <f>-TRIBUTAÇÃO!S28</f>
        <v>-495890.6603020035</v>
      </c>
      <c r="T12" s="17">
        <f>-TRIBUTAÇÃO!T28</f>
        <v>-495890.6603020035</v>
      </c>
      <c r="U12" s="17">
        <f>-TRIBUTAÇÃO!U28</f>
        <v>-495890.6603020035</v>
      </c>
      <c r="V12" s="17">
        <f>-TRIBUTAÇÃO!V28</f>
        <v>-495890.6603020035</v>
      </c>
      <c r="W12" s="17">
        <f>-TRIBUTAÇÃO!W28</f>
        <v>-495890.6603020035</v>
      </c>
      <c r="X12" s="17">
        <f>-TRIBUTAÇÃO!X28</f>
        <v>-495890.6603020035</v>
      </c>
      <c r="Y12" s="17">
        <f>-TRIBUTAÇÃO!Y28</f>
        <v>-495890.6603020035</v>
      </c>
    </row>
    <row r="13" spans="2:25">
      <c r="B13" s="22" t="s">
        <v>685</v>
      </c>
      <c r="C13" s="8" t="s">
        <v>576</v>
      </c>
      <c r="D13" s="8" t="s">
        <v>686</v>
      </c>
      <c r="E13" s="17">
        <v>0</v>
      </c>
      <c r="F13" s="17">
        <f t="shared" ref="F13:Y13" si="3">F11+F12</f>
        <v>376218.31292121427</v>
      </c>
      <c r="G13" s="17">
        <f t="shared" si="3"/>
        <v>361632.31292121427</v>
      </c>
      <c r="H13" s="17">
        <f t="shared" si="3"/>
        <v>347046.31292121427</v>
      </c>
      <c r="I13" s="17">
        <f t="shared" si="3"/>
        <v>332460.31292121427</v>
      </c>
      <c r="J13" s="17">
        <f t="shared" si="3"/>
        <v>317874.31292121427</v>
      </c>
      <c r="K13" s="17">
        <f t="shared" si="3"/>
        <v>303288.31292121427</v>
      </c>
      <c r="L13" s="17">
        <f t="shared" si="3"/>
        <v>288702.31292121427</v>
      </c>
      <c r="M13" s="17">
        <f t="shared" si="3"/>
        <v>274116.31292121427</v>
      </c>
      <c r="N13" s="17">
        <f t="shared" si="3"/>
        <v>259530.31292121427</v>
      </c>
      <c r="O13" s="17">
        <f t="shared" si="3"/>
        <v>244944.31292121427</v>
      </c>
      <c r="P13" s="17">
        <f t="shared" si="3"/>
        <v>244944.31292121427</v>
      </c>
      <c r="Q13" s="17">
        <f t="shared" si="3"/>
        <v>244944.31292121427</v>
      </c>
      <c r="R13" s="17">
        <f t="shared" si="3"/>
        <v>244944.31292121427</v>
      </c>
      <c r="S13" s="17">
        <f t="shared" si="3"/>
        <v>244944.31292121427</v>
      </c>
      <c r="T13" s="17">
        <f t="shared" si="3"/>
        <v>244944.31292121427</v>
      </c>
      <c r="U13" s="17">
        <f t="shared" si="3"/>
        <v>244944.31292121427</v>
      </c>
      <c r="V13" s="17">
        <f t="shared" si="3"/>
        <v>244944.31292121427</v>
      </c>
      <c r="W13" s="17">
        <f t="shared" si="3"/>
        <v>244944.31292121427</v>
      </c>
      <c r="X13" s="17">
        <f t="shared" si="3"/>
        <v>244944.31292121427</v>
      </c>
      <c r="Y13" s="17">
        <f t="shared" si="3"/>
        <v>244944.31292121427</v>
      </c>
    </row>
    <row r="14" spans="2:25">
      <c r="B14" s="5" t="s">
        <v>687</v>
      </c>
      <c r="C14" s="8" t="s">
        <v>688</v>
      </c>
      <c r="D14" s="8" t="s">
        <v>689</v>
      </c>
      <c r="E14" s="17">
        <v>0</v>
      </c>
      <c r="F14" s="17">
        <f t="shared" ref="F14:Y14" si="4">-F10</f>
        <v>223100</v>
      </c>
      <c r="G14" s="17">
        <f t="shared" si="4"/>
        <v>223100</v>
      </c>
      <c r="H14" s="17">
        <f t="shared" si="4"/>
        <v>223100</v>
      </c>
      <c r="I14" s="17">
        <f t="shared" si="4"/>
        <v>223100</v>
      </c>
      <c r="J14" s="17">
        <f t="shared" si="4"/>
        <v>223100</v>
      </c>
      <c r="K14" s="17">
        <f t="shared" si="4"/>
        <v>223100</v>
      </c>
      <c r="L14" s="17">
        <f t="shared" si="4"/>
        <v>223100</v>
      </c>
      <c r="M14" s="17">
        <f t="shared" si="4"/>
        <v>223100</v>
      </c>
      <c r="N14" s="17">
        <f t="shared" si="4"/>
        <v>223100</v>
      </c>
      <c r="O14" s="17">
        <f t="shared" si="4"/>
        <v>223100</v>
      </c>
      <c r="P14" s="17">
        <f t="shared" si="4"/>
        <v>223100</v>
      </c>
      <c r="Q14" s="17">
        <f t="shared" si="4"/>
        <v>223100</v>
      </c>
      <c r="R14" s="17">
        <f t="shared" si="4"/>
        <v>223100</v>
      </c>
      <c r="S14" s="17">
        <f t="shared" si="4"/>
        <v>223100</v>
      </c>
      <c r="T14" s="17">
        <f t="shared" si="4"/>
        <v>223100</v>
      </c>
      <c r="U14" s="17">
        <f t="shared" si="4"/>
        <v>223100</v>
      </c>
      <c r="V14" s="17">
        <f t="shared" si="4"/>
        <v>223100</v>
      </c>
      <c r="W14" s="17">
        <f t="shared" si="4"/>
        <v>223100</v>
      </c>
      <c r="X14" s="17">
        <f t="shared" si="4"/>
        <v>223100</v>
      </c>
      <c r="Y14" s="17">
        <f t="shared" si="4"/>
        <v>223100</v>
      </c>
    </row>
    <row r="15" spans="2:25">
      <c r="B15" s="18" t="s">
        <v>690</v>
      </c>
      <c r="C15" s="18" t="s">
        <v>576</v>
      </c>
      <c r="D15" s="18" t="s">
        <v>691</v>
      </c>
      <c r="E15" s="19">
        <f t="shared" ref="E15:Y15" si="5">E4+E13+E14</f>
        <v>-5498000</v>
      </c>
      <c r="F15" s="19">
        <f t="shared" si="5"/>
        <v>599318.31292121427</v>
      </c>
      <c r="G15" s="19">
        <f t="shared" si="5"/>
        <v>584732.31292121427</v>
      </c>
      <c r="H15" s="19">
        <f t="shared" si="5"/>
        <v>570146.31292121427</v>
      </c>
      <c r="I15" s="19">
        <f t="shared" si="5"/>
        <v>555560.31292121427</v>
      </c>
      <c r="J15" s="19">
        <f t="shared" si="5"/>
        <v>540974.31292121427</v>
      </c>
      <c r="K15" s="19">
        <f t="shared" si="5"/>
        <v>526388.31292121427</v>
      </c>
      <c r="L15" s="19">
        <f t="shared" si="5"/>
        <v>511802.31292121427</v>
      </c>
      <c r="M15" s="19">
        <f t="shared" si="5"/>
        <v>497216.31292121427</v>
      </c>
      <c r="N15" s="19">
        <f t="shared" si="5"/>
        <v>482630.31292121427</v>
      </c>
      <c r="O15" s="19">
        <f t="shared" si="5"/>
        <v>468044.31292121427</v>
      </c>
      <c r="P15" s="19">
        <f t="shared" si="5"/>
        <v>468044.31292121427</v>
      </c>
      <c r="Q15" s="19">
        <f t="shared" si="5"/>
        <v>468044.31292121427</v>
      </c>
      <c r="R15" s="19">
        <f t="shared" si="5"/>
        <v>468044.31292121427</v>
      </c>
      <c r="S15" s="19">
        <f t="shared" si="5"/>
        <v>468044.31292121427</v>
      </c>
      <c r="T15" s="19">
        <f t="shared" si="5"/>
        <v>468044.31292121427</v>
      </c>
      <c r="U15" s="19">
        <f t="shared" si="5"/>
        <v>468044.31292121427</v>
      </c>
      <c r="V15" s="19">
        <f t="shared" si="5"/>
        <v>468044.31292121427</v>
      </c>
      <c r="W15" s="19">
        <f t="shared" si="5"/>
        <v>468044.31292121427</v>
      </c>
      <c r="X15" s="19">
        <f t="shared" si="5"/>
        <v>468044.31292121427</v>
      </c>
      <c r="Y15" s="19">
        <f t="shared" si="5"/>
        <v>468044.31292121427</v>
      </c>
    </row>
    <row r="16" spans="2:25">
      <c r="B16" s="22" t="s">
        <v>692</v>
      </c>
      <c r="C16" s="8"/>
      <c r="D16" s="8" t="s">
        <v>693</v>
      </c>
      <c r="E16" s="17">
        <f>E15</f>
        <v>-5498000</v>
      </c>
      <c r="F16" s="17">
        <f t="shared" ref="F16:Y16" si="6">E16+F15</f>
        <v>-4898681.6870787861</v>
      </c>
      <c r="G16" s="17">
        <f t="shared" si="6"/>
        <v>-4313949.3741575722</v>
      </c>
      <c r="H16" s="17">
        <f t="shared" si="6"/>
        <v>-3743803.0612363578</v>
      </c>
      <c r="I16" s="17">
        <f t="shared" si="6"/>
        <v>-3188242.7483151434</v>
      </c>
      <c r="J16" s="17">
        <f t="shared" si="6"/>
        <v>-2647268.435393929</v>
      </c>
      <c r="K16" s="17">
        <f t="shared" si="6"/>
        <v>-2120880.1224727146</v>
      </c>
      <c r="L16" s="17">
        <f t="shared" si="6"/>
        <v>-1609077.8095515002</v>
      </c>
      <c r="M16" s="17">
        <f t="shared" si="6"/>
        <v>-1111861.4966302859</v>
      </c>
      <c r="N16" s="17">
        <f t="shared" si="6"/>
        <v>-629231.1837090716</v>
      </c>
      <c r="O16" s="17">
        <f t="shared" si="6"/>
        <v>-161186.87078785733</v>
      </c>
      <c r="P16" s="17">
        <f t="shared" si="6"/>
        <v>306857.44213335693</v>
      </c>
      <c r="Q16" s="17">
        <f t="shared" si="6"/>
        <v>774901.7550545712</v>
      </c>
      <c r="R16" s="17">
        <f t="shared" si="6"/>
        <v>1242946.0679757856</v>
      </c>
      <c r="S16" s="17">
        <f t="shared" si="6"/>
        <v>1710990.380897</v>
      </c>
      <c r="T16" s="17">
        <f t="shared" si="6"/>
        <v>2179034.6938182143</v>
      </c>
      <c r="U16" s="17">
        <f t="shared" si="6"/>
        <v>2647079.0067394287</v>
      </c>
      <c r="V16" s="17">
        <f t="shared" si="6"/>
        <v>3115123.3196606431</v>
      </c>
      <c r="W16" s="17">
        <f t="shared" si="6"/>
        <v>3583167.6325818575</v>
      </c>
      <c r="X16" s="17">
        <f t="shared" si="6"/>
        <v>4051211.9455030719</v>
      </c>
      <c r="Y16" s="17">
        <f t="shared" si="6"/>
        <v>4519256.2584242858</v>
      </c>
    </row>
    <row r="17" spans="2:25">
      <c r="B17" s="5" t="s">
        <v>694</v>
      </c>
      <c r="C17" s="8" t="s">
        <v>695</v>
      </c>
      <c r="D17" s="8" t="s">
        <v>696</v>
      </c>
      <c r="E17" s="17">
        <f>IF(PREMISSAS!$C$107=1,-(RECEITA!F5/12)*PREMISSAS!$C$106,0)</f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f>IF(PREMISSAS!$C$107=1,(RECEITA!F5/12)*PREMISSAS!$C$106,0)</f>
        <v>0</v>
      </c>
    </row>
    <row r="18" spans="2:25">
      <c r="B18" s="18" t="s">
        <v>697</v>
      </c>
      <c r="C18" s="18" t="s">
        <v>576</v>
      </c>
      <c r="D18" s="18" t="s">
        <v>698</v>
      </c>
      <c r="E18" s="19">
        <f t="shared" ref="E18:Y18" si="7">E15+E17</f>
        <v>-5498000</v>
      </c>
      <c r="F18" s="19">
        <f t="shared" si="7"/>
        <v>599318.31292121427</v>
      </c>
      <c r="G18" s="19">
        <f t="shared" si="7"/>
        <v>584732.31292121427</v>
      </c>
      <c r="H18" s="19">
        <f t="shared" si="7"/>
        <v>570146.31292121427</v>
      </c>
      <c r="I18" s="19">
        <f t="shared" si="7"/>
        <v>555560.31292121427</v>
      </c>
      <c r="J18" s="19">
        <f t="shared" si="7"/>
        <v>540974.31292121427</v>
      </c>
      <c r="K18" s="19">
        <f t="shared" si="7"/>
        <v>526388.31292121427</v>
      </c>
      <c r="L18" s="19">
        <f t="shared" si="7"/>
        <v>511802.31292121427</v>
      </c>
      <c r="M18" s="19">
        <f t="shared" si="7"/>
        <v>497216.31292121427</v>
      </c>
      <c r="N18" s="19">
        <f t="shared" si="7"/>
        <v>482630.31292121427</v>
      </c>
      <c r="O18" s="19">
        <f t="shared" si="7"/>
        <v>468044.31292121427</v>
      </c>
      <c r="P18" s="19">
        <f t="shared" si="7"/>
        <v>468044.31292121427</v>
      </c>
      <c r="Q18" s="19">
        <f t="shared" si="7"/>
        <v>468044.31292121427</v>
      </c>
      <c r="R18" s="19">
        <f t="shared" si="7"/>
        <v>468044.31292121427</v>
      </c>
      <c r="S18" s="19">
        <f t="shared" si="7"/>
        <v>468044.31292121427</v>
      </c>
      <c r="T18" s="19">
        <f t="shared" si="7"/>
        <v>468044.31292121427</v>
      </c>
      <c r="U18" s="19">
        <f t="shared" si="7"/>
        <v>468044.31292121427</v>
      </c>
      <c r="V18" s="19">
        <f t="shared" si="7"/>
        <v>468044.31292121427</v>
      </c>
      <c r="W18" s="19">
        <f t="shared" si="7"/>
        <v>468044.31292121427</v>
      </c>
      <c r="X18" s="19">
        <f t="shared" si="7"/>
        <v>468044.31292121427</v>
      </c>
      <c r="Y18" s="19">
        <f t="shared" si="7"/>
        <v>468044.31292121427</v>
      </c>
    </row>
    <row r="19" spans="2:25">
      <c r="B19" s="22" t="s">
        <v>699</v>
      </c>
      <c r="C19" s="8"/>
      <c r="D19" s="8" t="s">
        <v>693</v>
      </c>
      <c r="E19" s="17">
        <f>E18</f>
        <v>-5498000</v>
      </c>
      <c r="F19" s="17">
        <f t="shared" ref="F19:Y19" si="8">E19+F18</f>
        <v>-4898681.6870787861</v>
      </c>
      <c r="G19" s="17">
        <f t="shared" si="8"/>
        <v>-4313949.3741575722</v>
      </c>
      <c r="H19" s="17">
        <f t="shared" si="8"/>
        <v>-3743803.0612363578</v>
      </c>
      <c r="I19" s="17">
        <f t="shared" si="8"/>
        <v>-3188242.7483151434</v>
      </c>
      <c r="J19" s="17">
        <f t="shared" si="8"/>
        <v>-2647268.435393929</v>
      </c>
      <c r="K19" s="17">
        <f t="shared" si="8"/>
        <v>-2120880.1224727146</v>
      </c>
      <c r="L19" s="17">
        <f t="shared" si="8"/>
        <v>-1609077.8095515002</v>
      </c>
      <c r="M19" s="17">
        <f t="shared" si="8"/>
        <v>-1111861.4966302859</v>
      </c>
      <c r="N19" s="17">
        <f t="shared" si="8"/>
        <v>-629231.1837090716</v>
      </c>
      <c r="O19" s="17">
        <f t="shared" si="8"/>
        <v>-161186.87078785733</v>
      </c>
      <c r="P19" s="17">
        <f t="shared" si="8"/>
        <v>306857.44213335693</v>
      </c>
      <c r="Q19" s="17">
        <f t="shared" si="8"/>
        <v>774901.7550545712</v>
      </c>
      <c r="R19" s="17">
        <f t="shared" si="8"/>
        <v>1242946.0679757856</v>
      </c>
      <c r="S19" s="17">
        <f t="shared" si="8"/>
        <v>1710990.380897</v>
      </c>
      <c r="T19" s="17">
        <f t="shared" si="8"/>
        <v>2179034.6938182143</v>
      </c>
      <c r="U19" s="17">
        <f t="shared" si="8"/>
        <v>2647079.0067394287</v>
      </c>
      <c r="V19" s="17">
        <f t="shared" si="8"/>
        <v>3115123.3196606431</v>
      </c>
      <c r="W19" s="17">
        <f t="shared" si="8"/>
        <v>3583167.6325818575</v>
      </c>
      <c r="X19" s="17">
        <f t="shared" si="8"/>
        <v>4051211.9455030719</v>
      </c>
      <c r="Y19" s="17">
        <f t="shared" si="8"/>
        <v>4519256.2584242858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9900"/>
  </sheetPr>
  <dimension ref="A1:L72"/>
  <sheetViews>
    <sheetView topLeftCell="A13" zoomScaleNormal="100" workbookViewId="0">
      <selection activeCell="C46" sqref="C46"/>
    </sheetView>
  </sheetViews>
  <sheetFormatPr defaultColWidth="8.7109375" defaultRowHeight="15"/>
  <cols>
    <col min="2" max="2" width="36.7109375" bestFit="1" customWidth="1"/>
    <col min="3" max="3" width="18" style="105" customWidth="1"/>
    <col min="4" max="4" width="10.85546875" bestFit="1" customWidth="1"/>
    <col min="5" max="5" width="56" bestFit="1" customWidth="1"/>
    <col min="6" max="6" width="44.85546875" bestFit="1" customWidth="1"/>
  </cols>
  <sheetData>
    <row r="1" spans="1:7" ht="90" customHeight="1">
      <c r="A1" s="99"/>
      <c r="B1" s="68" t="s">
        <v>74</v>
      </c>
      <c r="C1" s="106" t="s">
        <v>700</v>
      </c>
      <c r="D1" s="40" t="s">
        <v>701</v>
      </c>
      <c r="E1" s="40"/>
      <c r="F1" s="40"/>
      <c r="G1" s="40"/>
    </row>
    <row r="2" spans="1:7" ht="33.75" customHeight="1">
      <c r="A2" s="99"/>
      <c r="B2" s="69" t="s">
        <v>702</v>
      </c>
      <c r="C2" s="40"/>
      <c r="D2" s="40"/>
      <c r="E2" s="40"/>
      <c r="F2" s="40"/>
      <c r="G2" s="40"/>
    </row>
    <row r="3" spans="1:7">
      <c r="A3" s="99"/>
      <c r="B3" s="40"/>
      <c r="C3" s="40"/>
      <c r="D3" s="40"/>
      <c r="E3" s="40"/>
      <c r="F3" s="40"/>
      <c r="G3" s="40"/>
    </row>
    <row r="4" spans="1:7">
      <c r="A4" s="99"/>
      <c r="B4" s="40"/>
      <c r="C4" s="40"/>
      <c r="D4" s="40"/>
      <c r="E4" s="40"/>
      <c r="F4" s="40"/>
      <c r="G4" s="40"/>
    </row>
    <row r="5" spans="1:7">
      <c r="A5" s="99"/>
      <c r="B5" s="70" t="s">
        <v>703</v>
      </c>
      <c r="C5" s="107"/>
      <c r="D5" s="71"/>
      <c r="E5" s="71"/>
      <c r="F5" s="40"/>
      <c r="G5" s="40"/>
    </row>
    <row r="6" spans="1:7" ht="24" customHeight="1">
      <c r="A6" s="99"/>
      <c r="B6" s="72" t="s">
        <v>357</v>
      </c>
      <c r="C6" s="108" t="str">
        <f>PREMISSAS!$C$47</f>
        <v>Cemig A4 Verde 360 kW</v>
      </c>
      <c r="D6" s="73" t="s">
        <v>359</v>
      </c>
      <c r="E6" s="40"/>
      <c r="F6" s="40"/>
      <c r="G6" s="40"/>
    </row>
    <row r="7" spans="1:7">
      <c r="A7" s="99"/>
      <c r="B7" s="72" t="s">
        <v>704</v>
      </c>
      <c r="C7" s="74">
        <f>CÁLCULO!F4</f>
        <v>3940.8425279999997</v>
      </c>
      <c r="D7" s="73" t="s">
        <v>14</v>
      </c>
      <c r="E7" s="40"/>
      <c r="F7" s="40"/>
      <c r="G7" s="40"/>
    </row>
    <row r="8" spans="1:7">
      <c r="A8" s="99"/>
      <c r="B8" s="72" t="s">
        <v>705</v>
      </c>
      <c r="C8" s="74">
        <f>CÁLCULO!F9</f>
        <v>164.20177199999998</v>
      </c>
      <c r="D8" s="73" t="s">
        <v>313</v>
      </c>
      <c r="E8" s="40"/>
      <c r="F8" s="40"/>
      <c r="G8" s="40"/>
    </row>
    <row r="9" spans="1:7">
      <c r="A9" s="99"/>
      <c r="B9" s="72" t="s">
        <v>706</v>
      </c>
      <c r="C9" s="74">
        <f>CÁLCULO!F10</f>
        <v>6.5680708799999987</v>
      </c>
      <c r="D9" s="73" t="s">
        <v>317</v>
      </c>
      <c r="E9" s="40"/>
      <c r="F9" s="40"/>
      <c r="G9" s="40"/>
    </row>
    <row r="10" spans="1:7">
      <c r="A10" s="99"/>
      <c r="B10" s="72" t="s">
        <v>386</v>
      </c>
      <c r="C10" s="74">
        <f>PREMISSAS!$C$62</f>
        <v>360</v>
      </c>
      <c r="D10" s="73" t="s">
        <v>344</v>
      </c>
      <c r="E10" s="40"/>
      <c r="F10" s="40"/>
      <c r="G10" s="40"/>
    </row>
    <row r="11" spans="1:7">
      <c r="A11" s="99"/>
      <c r="B11" s="72" t="s">
        <v>707</v>
      </c>
      <c r="C11" s="74">
        <v>191.5</v>
      </c>
      <c r="D11" s="73" t="s">
        <v>344</v>
      </c>
      <c r="E11" s="40"/>
      <c r="F11" s="40"/>
      <c r="G11" s="40"/>
    </row>
    <row r="12" spans="1:7">
      <c r="A12" s="99"/>
      <c r="B12" s="40" t="s">
        <v>708</v>
      </c>
      <c r="C12" s="75">
        <v>178.95</v>
      </c>
      <c r="D12" s="40" t="s">
        <v>344</v>
      </c>
      <c r="E12" s="40"/>
      <c r="F12" s="40"/>
      <c r="G12" s="40"/>
    </row>
    <row r="13" spans="1:7">
      <c r="A13" s="99"/>
      <c r="B13" s="70" t="s">
        <v>709</v>
      </c>
      <c r="C13" s="76">
        <v>370.45</v>
      </c>
      <c r="D13" s="71" t="s">
        <v>344</v>
      </c>
      <c r="E13" s="71"/>
      <c r="F13" s="40"/>
      <c r="G13" s="40"/>
    </row>
    <row r="14" spans="1:7">
      <c r="A14" s="99"/>
      <c r="B14" s="72"/>
      <c r="C14" s="108"/>
      <c r="D14" s="73"/>
      <c r="E14" s="40"/>
      <c r="F14" s="40"/>
      <c r="G14" s="40"/>
    </row>
    <row r="15" spans="1:7">
      <c r="A15" s="99"/>
      <c r="B15" s="72" t="s">
        <v>710</v>
      </c>
      <c r="C15" s="74">
        <v>41.125</v>
      </c>
      <c r="D15" s="73" t="s">
        <v>28</v>
      </c>
      <c r="E15" s="40"/>
      <c r="F15" s="40"/>
      <c r="G15" s="40"/>
    </row>
    <row r="16" spans="1:7">
      <c r="A16" s="99"/>
      <c r="B16" s="72" t="s">
        <v>711</v>
      </c>
      <c r="C16" s="74">
        <v>166.25</v>
      </c>
      <c r="D16" s="73" t="s">
        <v>28</v>
      </c>
      <c r="E16" s="40"/>
      <c r="F16" s="40"/>
      <c r="G16" s="40"/>
    </row>
    <row r="17" spans="1:12">
      <c r="A17" s="99"/>
      <c r="B17" s="40" t="s">
        <v>712</v>
      </c>
      <c r="C17" s="75">
        <f>IF(C7&gt;0,PREMISSAS!$C$45/C7,0)</f>
        <v>0.51765580215541163</v>
      </c>
      <c r="D17" s="40" t="s">
        <v>28</v>
      </c>
      <c r="E17" s="40"/>
      <c r="F17" s="40"/>
      <c r="G17" s="40"/>
    </row>
    <row r="18" spans="1:12">
      <c r="A18" s="99"/>
      <c r="B18" s="70" t="s">
        <v>713</v>
      </c>
      <c r="C18" s="76">
        <f>C15+C16+C17</f>
        <v>207.89265580215542</v>
      </c>
      <c r="D18" s="71" t="s">
        <v>28</v>
      </c>
      <c r="E18" s="71"/>
      <c r="F18" s="40"/>
      <c r="G18" s="40"/>
    </row>
    <row r="19" spans="1:12">
      <c r="A19" s="99"/>
      <c r="B19" s="40"/>
      <c r="C19" s="40"/>
      <c r="D19" s="40"/>
      <c r="E19" s="40"/>
      <c r="F19" s="40"/>
      <c r="G19" s="40"/>
    </row>
    <row r="20" spans="1:12">
      <c r="A20" s="99"/>
      <c r="B20" s="40" t="s">
        <v>714</v>
      </c>
      <c r="C20" s="40"/>
      <c r="D20" s="40"/>
      <c r="E20" s="40"/>
      <c r="F20" s="40"/>
      <c r="G20" s="40"/>
    </row>
    <row r="21" spans="1:12">
      <c r="A21" s="99"/>
      <c r="B21" s="40" t="s">
        <v>715</v>
      </c>
      <c r="C21" s="75">
        <f>PREMISSAS!$C$78</f>
        <v>0.76189094700062787</v>
      </c>
      <c r="D21" s="40" t="s">
        <v>392</v>
      </c>
      <c r="E21" s="40"/>
      <c r="F21" s="40"/>
      <c r="G21" s="40"/>
    </row>
    <row r="22" spans="1:12">
      <c r="A22" s="99"/>
      <c r="B22" s="70" t="s">
        <v>716</v>
      </c>
      <c r="C22" s="109">
        <f>C45</f>
        <v>624196.08697111718</v>
      </c>
      <c r="D22" s="71" t="s">
        <v>376</v>
      </c>
      <c r="E22" s="71" t="s">
        <v>717</v>
      </c>
      <c r="F22" s="40"/>
      <c r="G22" s="40"/>
    </row>
    <row r="23" spans="1:12">
      <c r="A23" s="99"/>
      <c r="B23" s="40" t="s">
        <v>718</v>
      </c>
      <c r="C23" s="110">
        <f>IF(C7&gt;0,PREMISSAS!$C$79*PREMISSAS!$C$105,0)</f>
        <v>129214.79150275369</v>
      </c>
      <c r="D23" s="40" t="s">
        <v>376</v>
      </c>
      <c r="E23" s="40" t="s">
        <v>719</v>
      </c>
      <c r="F23" s="40"/>
      <c r="G23" s="40"/>
    </row>
    <row r="24" spans="1:12" ht="30" customHeight="1">
      <c r="A24" s="99"/>
      <c r="B24" s="40" t="s">
        <v>720</v>
      </c>
      <c r="C24" s="110">
        <f>C22+C23</f>
        <v>753410.87847387092</v>
      </c>
      <c r="D24" s="40" t="s">
        <v>376</v>
      </c>
      <c r="E24" s="40" t="s">
        <v>721</v>
      </c>
      <c r="F24" s="40"/>
      <c r="G24" s="40"/>
      <c r="H24" s="98"/>
    </row>
    <row r="25" spans="1:12">
      <c r="A25" s="99"/>
      <c r="B25" s="40" t="s">
        <v>722</v>
      </c>
      <c r="C25" s="110">
        <f>IF(C7&gt;0,C22/C7,0)</f>
        <v>158.39153240357979</v>
      </c>
      <c r="D25" s="40" t="s">
        <v>334</v>
      </c>
      <c r="E25" s="40"/>
      <c r="F25" s="40"/>
      <c r="G25" s="40"/>
    </row>
    <row r="26" spans="1:12">
      <c r="A26" s="99"/>
      <c r="B26" s="40" t="s">
        <v>723</v>
      </c>
      <c r="C26" s="110">
        <f>IF(C7&gt;0,C24/C7,0)</f>
        <v>191.18015325931617</v>
      </c>
      <c r="D26" s="40" t="s">
        <v>334</v>
      </c>
      <c r="E26" s="40"/>
      <c r="F26" s="40"/>
      <c r="G26" s="40"/>
    </row>
    <row r="27" spans="1:12">
      <c r="A27" s="99"/>
      <c r="B27" s="40"/>
      <c r="C27" s="40"/>
      <c r="D27" s="40"/>
      <c r="E27" s="40"/>
      <c r="F27" s="40"/>
      <c r="G27" s="40"/>
    </row>
    <row r="28" spans="1:12">
      <c r="A28" s="99"/>
      <c r="B28" s="176" t="s">
        <v>724</v>
      </c>
      <c r="C28" s="177"/>
      <c r="D28" s="177"/>
      <c r="E28" s="177"/>
      <c r="F28" s="178"/>
      <c r="G28" s="77"/>
    </row>
    <row r="29" spans="1:12">
      <c r="A29" s="99"/>
      <c r="B29" s="41" t="s">
        <v>725</v>
      </c>
      <c r="C29" s="78">
        <f>C7*C15</f>
        <v>162067.14896399999</v>
      </c>
      <c r="D29" s="77" t="s">
        <v>356</v>
      </c>
      <c r="E29" s="77" t="s">
        <v>726</v>
      </c>
      <c r="F29" s="77"/>
      <c r="G29" s="77"/>
    </row>
    <row r="30" spans="1:12">
      <c r="A30" s="99"/>
      <c r="B30" s="41" t="s">
        <v>727</v>
      </c>
      <c r="C30" s="78">
        <f>C7*C16</f>
        <v>655165.07027999999</v>
      </c>
      <c r="D30" s="77" t="s">
        <v>356</v>
      </c>
      <c r="E30" s="77" t="s">
        <v>728</v>
      </c>
      <c r="F30" s="77"/>
      <c r="G30" s="77"/>
      <c r="L30" s="98"/>
    </row>
    <row r="31" spans="1:12">
      <c r="A31" s="99"/>
      <c r="B31" s="41" t="s">
        <v>729</v>
      </c>
      <c r="C31" s="78">
        <f>PREMISSAS!$C$45</f>
        <v>2040</v>
      </c>
      <c r="D31" s="77" t="s">
        <v>356</v>
      </c>
      <c r="E31" s="77" t="s">
        <v>730</v>
      </c>
      <c r="F31" s="77"/>
      <c r="G31" s="77"/>
    </row>
    <row r="32" spans="1:12">
      <c r="A32" s="99"/>
      <c r="B32" s="41" t="s">
        <v>731</v>
      </c>
      <c r="C32" s="78">
        <f>SUM(C29:C31)</f>
        <v>819272.21924400004</v>
      </c>
      <c r="D32" s="77" t="s">
        <v>356</v>
      </c>
      <c r="E32" s="77"/>
      <c r="F32" s="77"/>
      <c r="G32" s="77"/>
    </row>
    <row r="33" spans="1:7">
      <c r="A33" s="99"/>
      <c r="B33" s="77"/>
      <c r="C33" s="111"/>
      <c r="D33" s="77"/>
      <c r="E33" s="77"/>
      <c r="F33" s="77"/>
      <c r="G33" s="77"/>
    </row>
    <row r="34" spans="1:7">
      <c r="A34" s="99"/>
      <c r="B34" s="41" t="s">
        <v>732</v>
      </c>
      <c r="C34" s="78">
        <f>C30*PREMISSAS!$C$76</f>
        <v>58496.881275</v>
      </c>
      <c r="D34" s="77" t="s">
        <v>356</v>
      </c>
      <c r="E34" s="77" t="s">
        <v>733</v>
      </c>
      <c r="F34" s="77"/>
      <c r="G34" s="77"/>
    </row>
    <row r="35" spans="1:7">
      <c r="A35" s="99"/>
      <c r="B35" s="41" t="s">
        <v>734</v>
      </c>
      <c r="C35" s="78">
        <f>C29*PREMISSAS!$C$77*PREMISSAS!$C$76</f>
        <v>0</v>
      </c>
      <c r="D35" s="77" t="s">
        <v>356</v>
      </c>
      <c r="E35" s="77" t="s">
        <v>735</v>
      </c>
      <c r="F35" s="77"/>
      <c r="G35" s="77"/>
    </row>
    <row r="36" spans="1:7">
      <c r="A36" s="99"/>
      <c r="B36" s="41" t="s">
        <v>736</v>
      </c>
      <c r="C36" s="78">
        <f>C34+C35</f>
        <v>58496.881275</v>
      </c>
      <c r="D36" s="77" t="s">
        <v>356</v>
      </c>
      <c r="E36" s="77"/>
      <c r="F36" s="77"/>
      <c r="G36" s="77"/>
    </row>
    <row r="37" spans="1:7">
      <c r="A37" s="99"/>
      <c r="B37" s="41" t="s">
        <v>737</v>
      </c>
      <c r="C37" s="78">
        <f>C30-C34</f>
        <v>596668.18900499993</v>
      </c>
      <c r="D37" s="77" t="s">
        <v>356</v>
      </c>
      <c r="E37" s="77"/>
      <c r="F37" s="77"/>
      <c r="G37" s="77"/>
    </row>
    <row r="38" spans="1:7">
      <c r="A38" s="99"/>
      <c r="B38" s="41" t="s">
        <v>738</v>
      </c>
      <c r="C38" s="78">
        <f>C29-C35</f>
        <v>162067.14896399999</v>
      </c>
      <c r="D38" s="77" t="s">
        <v>356</v>
      </c>
      <c r="E38" s="77"/>
      <c r="F38" s="77"/>
      <c r="G38" s="77"/>
    </row>
    <row r="39" spans="1:7">
      <c r="A39" s="99"/>
      <c r="B39" s="41" t="s">
        <v>739</v>
      </c>
      <c r="C39" s="78">
        <f>C31</f>
        <v>2040</v>
      </c>
      <c r="D39" s="77" t="s">
        <v>356</v>
      </c>
      <c r="E39" s="77"/>
      <c r="F39" s="77"/>
      <c r="G39" s="77"/>
    </row>
    <row r="40" spans="1:7">
      <c r="A40" s="99"/>
      <c r="B40" s="41" t="s">
        <v>740</v>
      </c>
      <c r="C40" s="78">
        <f>SUM(C37:C39)</f>
        <v>760775.33796899999</v>
      </c>
      <c r="D40" s="77" t="s">
        <v>356</v>
      </c>
      <c r="E40" s="77"/>
      <c r="F40" s="77"/>
      <c r="G40" s="77"/>
    </row>
    <row r="41" spans="1:7">
      <c r="A41" s="99"/>
      <c r="B41" s="77"/>
      <c r="C41" s="77"/>
      <c r="D41" s="77"/>
      <c r="E41" s="77"/>
      <c r="F41" s="77"/>
      <c r="G41" s="77"/>
    </row>
    <row r="42" spans="1:7">
      <c r="A42" s="99"/>
      <c r="B42" s="41" t="s">
        <v>741</v>
      </c>
      <c r="C42" s="112">
        <f>C36*PREMISSAS!$C$73</f>
        <v>175272.79548665613</v>
      </c>
      <c r="D42" s="77" t="s">
        <v>376</v>
      </c>
      <c r="E42" s="77" t="s">
        <v>742</v>
      </c>
      <c r="F42" s="77"/>
      <c r="G42" s="77"/>
    </row>
    <row r="43" spans="1:7">
      <c r="A43" s="99"/>
      <c r="B43" s="41" t="s">
        <v>743</v>
      </c>
      <c r="C43" s="112">
        <f>C40*PREMISSAS!$C$74</f>
        <v>448923.29148446099</v>
      </c>
      <c r="D43" s="111" t="s">
        <v>376</v>
      </c>
      <c r="E43" s="111" t="s">
        <v>744</v>
      </c>
      <c r="F43" s="77"/>
      <c r="G43" s="77"/>
    </row>
    <row r="44" spans="1:7">
      <c r="A44" s="99"/>
      <c r="B44" s="41" t="s">
        <v>745</v>
      </c>
      <c r="C44" s="112">
        <f>C42+C43</f>
        <v>624196.08697111718</v>
      </c>
      <c r="D44" s="111" t="s">
        <v>376</v>
      </c>
      <c r="E44" s="111"/>
      <c r="F44" s="77"/>
      <c r="G44" s="77"/>
    </row>
    <row r="45" spans="1:7">
      <c r="A45" s="99"/>
      <c r="B45" s="41" t="s">
        <v>746</v>
      </c>
      <c r="C45" s="112">
        <f>C44</f>
        <v>624196.08697111718</v>
      </c>
      <c r="D45" s="111" t="s">
        <v>376</v>
      </c>
      <c r="E45" s="111"/>
      <c r="F45" s="77"/>
      <c r="G45" s="77"/>
    </row>
    <row r="46" spans="1:7">
      <c r="A46" s="99"/>
      <c r="B46" s="41" t="s">
        <v>747</v>
      </c>
      <c r="C46" s="112">
        <f>IF(C7&gt;0,PREMISSAS!$C$79*PREMISSAS!$C$105,0)</f>
        <v>129214.79150275369</v>
      </c>
      <c r="D46" s="77" t="s">
        <v>376</v>
      </c>
      <c r="E46" s="77" t="s">
        <v>748</v>
      </c>
      <c r="F46" s="77"/>
      <c r="G46" s="77"/>
    </row>
    <row r="47" spans="1:7">
      <c r="A47" s="99"/>
      <c r="B47" s="41" t="s">
        <v>749</v>
      </c>
      <c r="C47" s="112">
        <f>C45+C46</f>
        <v>753410.87847387092</v>
      </c>
      <c r="D47" s="77" t="s">
        <v>376</v>
      </c>
      <c r="E47" s="77"/>
      <c r="F47" s="77"/>
      <c r="G47" s="77"/>
    </row>
    <row r="48" spans="1:7">
      <c r="A48" s="99"/>
      <c r="B48" s="41" t="s">
        <v>653</v>
      </c>
      <c r="C48" s="112">
        <f>PREMISSAS!$C$82</f>
        <v>19669</v>
      </c>
      <c r="D48" s="77" t="s">
        <v>376</v>
      </c>
      <c r="E48" s="77" t="s">
        <v>750</v>
      </c>
      <c r="F48" s="77"/>
      <c r="G48" s="77"/>
    </row>
    <row r="49" spans="1:7">
      <c r="A49" s="99"/>
      <c r="B49" s="41" t="s">
        <v>751</v>
      </c>
      <c r="C49" s="112">
        <f>C47+C48</f>
        <v>773079.87847387092</v>
      </c>
      <c r="D49" s="77" t="s">
        <v>376</v>
      </c>
      <c r="E49" s="77"/>
      <c r="F49" s="77"/>
      <c r="G49" s="77"/>
    </row>
    <row r="50" spans="1:7">
      <c r="A50" s="99"/>
      <c r="B50" s="41" t="s">
        <v>752</v>
      </c>
      <c r="C50" s="112">
        <f>IF(C7&gt;0,C49/C7,0)</f>
        <v>196.17121795176459</v>
      </c>
      <c r="D50" s="77" t="s">
        <v>334</v>
      </c>
      <c r="E50" s="77"/>
      <c r="F50" s="77"/>
      <c r="G50" s="77"/>
    </row>
    <row r="51" spans="1:7">
      <c r="A51" s="99"/>
      <c r="B51" s="77"/>
      <c r="C51" s="77"/>
      <c r="D51" s="77"/>
      <c r="E51" s="77"/>
      <c r="F51" s="77"/>
      <c r="G51" s="77"/>
    </row>
    <row r="52" spans="1:7">
      <c r="A52" s="99"/>
      <c r="B52" s="77"/>
      <c r="C52" s="77"/>
      <c r="D52" s="77"/>
      <c r="E52" s="77"/>
      <c r="F52" s="77"/>
      <c r="G52" s="77"/>
    </row>
    <row r="53" spans="1:7">
      <c r="A53" s="99"/>
      <c r="B53" s="176"/>
      <c r="C53" s="177"/>
      <c r="D53" s="177"/>
      <c r="E53" s="177"/>
      <c r="F53" s="178"/>
      <c r="G53" s="77"/>
    </row>
    <row r="54" spans="1:7">
      <c r="A54" s="99"/>
      <c r="B54" s="42"/>
      <c r="C54" s="42"/>
      <c r="D54" s="42"/>
      <c r="E54" s="42" t="s">
        <v>753</v>
      </c>
      <c r="F54" s="42" t="s">
        <v>754</v>
      </c>
      <c r="G54" s="77"/>
    </row>
    <row r="55" spans="1:7">
      <c r="A55" s="99"/>
      <c r="B55" s="41"/>
      <c r="C55" s="79"/>
      <c r="D55" s="77"/>
      <c r="E55" s="77" t="s">
        <v>755</v>
      </c>
      <c r="F55" s="77" t="s">
        <v>756</v>
      </c>
      <c r="G55" s="77"/>
    </row>
    <row r="56" spans="1:7" ht="30" customHeight="1">
      <c r="A56" s="99"/>
      <c r="B56" s="41"/>
      <c r="C56" s="79"/>
      <c r="D56" s="77"/>
      <c r="E56" s="77" t="s">
        <v>757</v>
      </c>
      <c r="F56" s="77" t="s">
        <v>758</v>
      </c>
      <c r="G56" s="77"/>
    </row>
    <row r="57" spans="1:7" ht="30" customHeight="1">
      <c r="A57" s="99"/>
      <c r="B57" s="41"/>
      <c r="C57" s="80"/>
      <c r="D57" s="77"/>
      <c r="E57" s="77" t="s">
        <v>759</v>
      </c>
      <c r="F57" s="77" t="s">
        <v>760</v>
      </c>
      <c r="G57" s="77"/>
    </row>
    <row r="58" spans="1:7" ht="30" customHeight="1">
      <c r="A58" s="99"/>
      <c r="B58" s="41"/>
      <c r="C58" s="79"/>
      <c r="D58" s="77"/>
      <c r="E58" s="77" t="s">
        <v>761</v>
      </c>
      <c r="F58" s="77" t="s">
        <v>762</v>
      </c>
      <c r="G58" s="77"/>
    </row>
    <row r="59" spans="1:7" ht="30" customHeight="1">
      <c r="A59" s="99"/>
      <c r="B59" s="41"/>
      <c r="C59" s="83"/>
      <c r="D59" s="77"/>
      <c r="E59" s="77" t="s">
        <v>763</v>
      </c>
      <c r="F59" s="77" t="s">
        <v>764</v>
      </c>
      <c r="G59" s="77"/>
    </row>
    <row r="60" spans="1:7" ht="30" customHeight="1">
      <c r="A60" s="99"/>
      <c r="B60" s="41"/>
      <c r="C60" s="81"/>
      <c r="D60" s="77"/>
      <c r="E60" s="77" t="s">
        <v>765</v>
      </c>
      <c r="F60" s="77" t="s">
        <v>766</v>
      </c>
      <c r="G60" s="77"/>
    </row>
    <row r="61" spans="1:7">
      <c r="A61" s="99"/>
      <c r="B61" s="77"/>
      <c r="C61" s="77"/>
      <c r="D61" s="77"/>
      <c r="E61" s="77"/>
      <c r="F61" s="77"/>
      <c r="G61" s="77"/>
    </row>
    <row r="62" spans="1:7">
      <c r="A62" s="99"/>
      <c r="B62" s="176" t="s">
        <v>767</v>
      </c>
      <c r="C62" s="177"/>
      <c r="D62" s="177"/>
      <c r="E62" s="177"/>
      <c r="F62" s="178"/>
      <c r="G62" s="77"/>
    </row>
    <row r="63" spans="1:7">
      <c r="A63" s="99"/>
      <c r="B63" s="42" t="s">
        <v>568</v>
      </c>
      <c r="C63" s="42" t="s">
        <v>274</v>
      </c>
      <c r="D63" s="42" t="s">
        <v>275</v>
      </c>
      <c r="E63" s="42" t="s">
        <v>768</v>
      </c>
      <c r="F63" s="42" t="s">
        <v>769</v>
      </c>
      <c r="G63" s="77"/>
    </row>
    <row r="64" spans="1:7">
      <c r="A64" s="99"/>
      <c r="B64" s="41" t="s">
        <v>770</v>
      </c>
      <c r="C64" s="97">
        <f>C9</f>
        <v>6.5680708799999987</v>
      </c>
      <c r="D64" s="77" t="s">
        <v>317</v>
      </c>
      <c r="E64" s="77" t="s">
        <v>771</v>
      </c>
      <c r="F64" s="77" t="s">
        <v>772</v>
      </c>
      <c r="G64" s="77"/>
    </row>
    <row r="65" spans="1:7">
      <c r="A65" s="99"/>
      <c r="B65" s="41" t="s">
        <v>773</v>
      </c>
      <c r="C65" s="97">
        <f>MAX(PREMISSAS!$C$105-C64,0)</f>
        <v>5.4319291200000013</v>
      </c>
      <c r="D65" s="77" t="s">
        <v>317</v>
      </c>
      <c r="E65" s="77" t="s">
        <v>774</v>
      </c>
      <c r="F65" s="77" t="s">
        <v>775</v>
      </c>
      <c r="G65" s="77"/>
    </row>
    <row r="66" spans="1:7" ht="30" customHeight="1">
      <c r="A66" s="99"/>
      <c r="B66" s="41" t="s">
        <v>776</v>
      </c>
      <c r="C66" s="112">
        <f>C44</f>
        <v>624196.08697111718</v>
      </c>
      <c r="D66" s="77" t="s">
        <v>376</v>
      </c>
      <c r="E66" s="77" t="s">
        <v>777</v>
      </c>
      <c r="F66" s="77" t="s">
        <v>778</v>
      </c>
      <c r="G66" s="77"/>
    </row>
    <row r="67" spans="1:7" ht="30" customHeight="1">
      <c r="A67" s="99"/>
      <c r="B67" s="41" t="s">
        <v>779</v>
      </c>
      <c r="C67" s="112">
        <f>0</f>
        <v>0</v>
      </c>
      <c r="D67" s="77" t="s">
        <v>376</v>
      </c>
      <c r="E67" s="77" t="s">
        <v>780</v>
      </c>
      <c r="F67" s="77" t="s">
        <v>781</v>
      </c>
      <c r="G67" s="77"/>
    </row>
    <row r="68" spans="1:7" ht="30" customHeight="1">
      <c r="A68" s="99"/>
      <c r="B68" s="41" t="s">
        <v>782</v>
      </c>
      <c r="C68" s="112">
        <f>C46*C64/PREMISSAS!$C$105</f>
        <v>70724.325777875652</v>
      </c>
      <c r="D68" s="77" t="s">
        <v>376</v>
      </c>
      <c r="E68" s="77" t="s">
        <v>783</v>
      </c>
      <c r="F68" s="77" t="s">
        <v>784</v>
      </c>
      <c r="G68" s="77"/>
    </row>
    <row r="69" spans="1:7">
      <c r="A69" s="99"/>
      <c r="B69" s="41" t="s">
        <v>785</v>
      </c>
      <c r="C69" s="112">
        <f>C46*C65/PREMISSAS!$C$105</f>
        <v>58490.465724878042</v>
      </c>
      <c r="D69" s="77" t="s">
        <v>376</v>
      </c>
      <c r="E69" s="77" t="s">
        <v>786</v>
      </c>
      <c r="F69" s="77" t="s">
        <v>787</v>
      </c>
      <c r="G69" s="77"/>
    </row>
    <row r="70" spans="1:7">
      <c r="A70" s="99"/>
      <c r="B70" s="41" t="s">
        <v>788</v>
      </c>
      <c r="C70" s="112">
        <f>C68+C69</f>
        <v>129214.79150275369</v>
      </c>
      <c r="D70" s="77" t="s">
        <v>376</v>
      </c>
      <c r="E70" s="77" t="s">
        <v>789</v>
      </c>
      <c r="F70" s="77" t="s">
        <v>790</v>
      </c>
      <c r="G70" s="99"/>
    </row>
    <row r="71" spans="1:7">
      <c r="A71" s="99"/>
      <c r="B71" s="41" t="s">
        <v>791</v>
      </c>
      <c r="C71" s="112">
        <f>C66+C67+C70</f>
        <v>753410.87847387092</v>
      </c>
      <c r="D71" s="77" t="s">
        <v>376</v>
      </c>
      <c r="E71" s="77" t="s">
        <v>792</v>
      </c>
      <c r="F71" s="77" t="s">
        <v>793</v>
      </c>
      <c r="G71" s="99"/>
    </row>
    <row r="72" spans="1:7">
      <c r="A72" s="99"/>
      <c r="B72" s="77"/>
      <c r="C72" s="77"/>
      <c r="D72" s="77"/>
      <c r="E72" s="77"/>
      <c r="F72" s="77"/>
      <c r="G72" s="99"/>
    </row>
  </sheetData>
  <mergeCells count="3">
    <mergeCell ref="B53:F53"/>
    <mergeCell ref="B62:F62"/>
    <mergeCell ref="B28:F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/>
  <cols>
    <col min="2" max="2" width="24" customWidth="1"/>
    <col min="3" max="3" width="42" customWidth="1"/>
    <col min="4" max="4" width="90" customWidth="1"/>
    <col min="5" max="6" width="18" customWidth="1"/>
  </cols>
  <sheetData>
    <row r="1" spans="1:6">
      <c r="A1" s="99"/>
      <c r="B1" s="179" t="s">
        <v>794</v>
      </c>
      <c r="C1" s="172"/>
      <c r="D1" s="172"/>
      <c r="E1" s="172"/>
      <c r="F1" s="172"/>
    </row>
    <row r="2" spans="1:6" ht="90" customHeight="1">
      <c r="A2" s="99"/>
      <c r="B2" s="99" t="s">
        <v>795</v>
      </c>
      <c r="C2" s="99"/>
      <c r="D2" s="99"/>
      <c r="E2" s="99"/>
      <c r="F2" s="99"/>
    </row>
    <row r="3" spans="1:6">
      <c r="A3" s="99"/>
      <c r="B3" s="99"/>
      <c r="C3" s="99"/>
      <c r="D3" s="99"/>
      <c r="E3" s="99"/>
      <c r="F3" s="99"/>
    </row>
    <row r="4" spans="1:6">
      <c r="A4" s="99"/>
      <c r="B4" s="82" t="s">
        <v>796</v>
      </c>
      <c r="C4" s="82" t="s">
        <v>797</v>
      </c>
      <c r="D4" s="82" t="s">
        <v>798</v>
      </c>
      <c r="E4" s="99"/>
      <c r="F4" s="99"/>
    </row>
    <row r="5" spans="1:6" ht="30" customHeight="1">
      <c r="A5" s="99"/>
      <c r="B5" s="40" t="s">
        <v>799</v>
      </c>
      <c r="C5" s="40" t="s">
        <v>800</v>
      </c>
      <c r="D5" s="40" t="s">
        <v>801</v>
      </c>
      <c r="E5" s="99"/>
      <c r="F5" s="99"/>
    </row>
    <row r="6" spans="1:6">
      <c r="A6" s="99"/>
      <c r="B6" s="40" t="s">
        <v>802</v>
      </c>
      <c r="C6" s="40" t="s">
        <v>803</v>
      </c>
      <c r="D6" s="40" t="s">
        <v>804</v>
      </c>
      <c r="E6" s="99"/>
      <c r="F6" s="99"/>
    </row>
    <row r="7" spans="1:6" ht="30" customHeight="1">
      <c r="A7" s="99"/>
      <c r="B7" s="40" t="s">
        <v>805</v>
      </c>
      <c r="C7" s="40" t="s">
        <v>806</v>
      </c>
      <c r="D7" s="40" t="s">
        <v>807</v>
      </c>
      <c r="E7" s="99"/>
      <c r="F7" s="99"/>
    </row>
    <row r="8" spans="1:6" ht="30" customHeight="1">
      <c r="A8" s="99"/>
      <c r="B8" s="40" t="s">
        <v>808</v>
      </c>
      <c r="C8" s="40" t="s">
        <v>755</v>
      </c>
      <c r="D8" s="40" t="s">
        <v>809</v>
      </c>
      <c r="E8" s="99"/>
      <c r="F8" s="99"/>
    </row>
    <row r="9" spans="1:6" ht="30" customHeight="1">
      <c r="A9" s="99"/>
      <c r="B9" s="40" t="s">
        <v>810</v>
      </c>
      <c r="C9" s="40" t="s">
        <v>811</v>
      </c>
      <c r="D9" s="40" t="s">
        <v>812</v>
      </c>
      <c r="E9" s="99"/>
      <c r="F9" s="99"/>
    </row>
    <row r="10" spans="1:6" ht="30" customHeight="1">
      <c r="A10" s="99"/>
      <c r="B10" s="40" t="s">
        <v>813</v>
      </c>
      <c r="C10" s="40" t="s">
        <v>814</v>
      </c>
      <c r="D10" s="40" t="s">
        <v>815</v>
      </c>
      <c r="E10" s="99"/>
      <c r="F10" s="99"/>
    </row>
    <row r="11" spans="1:6" ht="30" customHeight="1">
      <c r="A11" s="99"/>
      <c r="B11" s="40" t="s">
        <v>816</v>
      </c>
      <c r="C11" s="40" t="s">
        <v>817</v>
      </c>
      <c r="D11" s="40" t="s">
        <v>818</v>
      </c>
      <c r="E11" s="99"/>
      <c r="F11" s="99"/>
    </row>
    <row r="12" spans="1:6" ht="30" customHeight="1">
      <c r="A12" s="99"/>
      <c r="B12" s="40" t="s">
        <v>819</v>
      </c>
      <c r="C12" s="40" t="s">
        <v>62</v>
      </c>
      <c r="D12" s="40" t="s">
        <v>820</v>
      </c>
      <c r="E12" s="99"/>
      <c r="F12" s="99"/>
    </row>
    <row r="13" spans="1:6">
      <c r="A13" s="99"/>
      <c r="B13" s="179" t="s">
        <v>821</v>
      </c>
      <c r="C13" s="172"/>
      <c r="D13" s="172"/>
      <c r="E13" s="99"/>
      <c r="F13" s="99"/>
    </row>
    <row r="14" spans="1:6" ht="30" customHeight="1">
      <c r="A14" s="99"/>
      <c r="B14" s="41" t="s">
        <v>822</v>
      </c>
      <c r="C14" s="40" t="s">
        <v>823</v>
      </c>
      <c r="D14" s="40" t="s">
        <v>824</v>
      </c>
      <c r="E14" s="99"/>
      <c r="F14" s="99"/>
    </row>
    <row r="15" spans="1:6" ht="30" customHeight="1">
      <c r="A15" s="99"/>
      <c r="B15" s="41" t="s">
        <v>825</v>
      </c>
      <c r="C15" s="40" t="s">
        <v>826</v>
      </c>
      <c r="D15" s="40" t="s">
        <v>827</v>
      </c>
      <c r="E15" s="99"/>
      <c r="F15" s="99"/>
    </row>
    <row r="16" spans="1:6" ht="30" customHeight="1">
      <c r="A16" s="99"/>
      <c r="B16" s="41" t="s">
        <v>828</v>
      </c>
      <c r="C16" s="40" t="s">
        <v>829</v>
      </c>
      <c r="D16" s="40" t="s">
        <v>830</v>
      </c>
      <c r="E16" s="99"/>
      <c r="F16" s="99"/>
    </row>
    <row r="17" spans="1:6" ht="30" customHeight="1">
      <c r="A17" s="99"/>
      <c r="B17" s="41" t="s">
        <v>831</v>
      </c>
      <c r="C17" s="40" t="s">
        <v>832</v>
      </c>
      <c r="D17" s="40" t="s">
        <v>833</v>
      </c>
      <c r="E17" s="99"/>
      <c r="F17" s="99"/>
    </row>
    <row r="18" spans="1:6">
      <c r="A18" s="99"/>
      <c r="B18" s="99"/>
      <c r="C18" s="99"/>
      <c r="D18" s="99"/>
      <c r="E18" s="99"/>
      <c r="F18" s="99"/>
    </row>
    <row r="19" spans="1:6" ht="45" customHeight="1">
      <c r="A19" s="99"/>
      <c r="B19" s="41" t="s">
        <v>773</v>
      </c>
      <c r="C19" s="40" t="s">
        <v>834</v>
      </c>
      <c r="D19" s="40" t="s">
        <v>835</v>
      </c>
      <c r="E19" s="99"/>
      <c r="F19" s="99"/>
    </row>
  </sheetData>
  <mergeCells count="2">
    <mergeCell ref="B13:D13"/>
    <mergeCell ref="B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55"/>
  <sheetViews>
    <sheetView topLeftCell="A46" workbookViewId="0">
      <selection activeCell="D65" sqref="D65"/>
    </sheetView>
  </sheetViews>
  <sheetFormatPr defaultRowHeight="15"/>
  <cols>
    <col min="1" max="1" width="26.140625" bestFit="1" customWidth="1"/>
    <col min="2" max="2" width="45.85546875" customWidth="1"/>
    <col min="3" max="3" width="60" customWidth="1"/>
    <col min="4" max="4" width="17.5703125" bestFit="1" customWidth="1"/>
    <col min="5" max="5" width="15.28515625" bestFit="1" customWidth="1"/>
  </cols>
  <sheetData>
    <row r="2" spans="1:7" ht="18" customHeight="1">
      <c r="A2" s="117" t="s">
        <v>836</v>
      </c>
      <c r="B2" s="117" t="s">
        <v>568</v>
      </c>
      <c r="C2" s="117" t="s">
        <v>837</v>
      </c>
      <c r="D2" s="117" t="s">
        <v>274</v>
      </c>
      <c r="E2" s="117" t="s">
        <v>838</v>
      </c>
      <c r="F2" s="118"/>
      <c r="G2" s="118"/>
    </row>
    <row r="3" spans="1:7" ht="36" customHeight="1">
      <c r="A3" s="182"/>
      <c r="B3" s="119" t="s">
        <v>839</v>
      </c>
      <c r="C3" s="119" t="s">
        <v>840</v>
      </c>
      <c r="D3" s="129">
        <v>32000</v>
      </c>
      <c r="E3" s="131"/>
    </row>
    <row r="4" spans="1:7" ht="36" customHeight="1">
      <c r="A4" s="181"/>
      <c r="B4" s="119" t="s">
        <v>841</v>
      </c>
      <c r="C4" s="119" t="s">
        <v>842</v>
      </c>
      <c r="D4" s="129">
        <v>4000</v>
      </c>
      <c r="E4" s="131"/>
    </row>
    <row r="5" spans="1:7" ht="36" customHeight="1">
      <c r="A5" s="181"/>
      <c r="B5" s="119" t="s">
        <v>843</v>
      </c>
      <c r="C5" s="119" t="s">
        <v>844</v>
      </c>
      <c r="D5" s="129">
        <v>8000</v>
      </c>
      <c r="E5" s="131"/>
    </row>
    <row r="6" spans="1:7" ht="54" customHeight="1">
      <c r="A6" s="181"/>
      <c r="B6" s="119" t="s">
        <v>845</v>
      </c>
      <c r="C6" s="119" t="s">
        <v>846</v>
      </c>
      <c r="D6" s="129">
        <v>12000</v>
      </c>
      <c r="E6" s="131"/>
    </row>
    <row r="7" spans="1:7" ht="36" customHeight="1">
      <c r="A7" s="181"/>
      <c r="B7" s="119" t="s">
        <v>847</v>
      </c>
      <c r="C7" s="119" t="s">
        <v>848</v>
      </c>
      <c r="D7" s="129">
        <v>12000</v>
      </c>
      <c r="E7" s="131"/>
    </row>
    <row r="8" spans="1:7" ht="54" customHeight="1">
      <c r="A8" s="181"/>
      <c r="B8" s="119" t="s">
        <v>849</v>
      </c>
      <c r="C8" s="119" t="s">
        <v>850</v>
      </c>
      <c r="D8" s="129">
        <v>6000</v>
      </c>
      <c r="E8" s="131"/>
    </row>
    <row r="9" spans="1:7" ht="54" customHeight="1">
      <c r="A9" s="181"/>
      <c r="B9" s="119" t="s">
        <v>851</v>
      </c>
      <c r="C9" s="119" t="s">
        <v>852</v>
      </c>
      <c r="D9" s="129">
        <v>5000</v>
      </c>
      <c r="E9" s="131"/>
    </row>
    <row r="10" spans="1:7" ht="36" customHeight="1">
      <c r="A10" s="181"/>
      <c r="B10" s="119" t="s">
        <v>853</v>
      </c>
      <c r="C10" s="119" t="s">
        <v>854</v>
      </c>
      <c r="D10" s="129">
        <v>6000</v>
      </c>
      <c r="E10" s="131"/>
    </row>
    <row r="11" spans="1:7" ht="36" customHeight="1">
      <c r="A11" s="120" t="s">
        <v>855</v>
      </c>
      <c r="B11" s="120" t="s">
        <v>856</v>
      </c>
      <c r="C11" s="120"/>
      <c r="D11" s="130">
        <f>SUM(D3:D10)</f>
        <v>85000</v>
      </c>
      <c r="E11" s="131"/>
    </row>
    <row r="12" spans="1:7" ht="36" customHeight="1">
      <c r="A12" s="180" t="s">
        <v>857</v>
      </c>
      <c r="B12" s="119" t="s">
        <v>858</v>
      </c>
      <c r="C12" s="119" t="s">
        <v>859</v>
      </c>
      <c r="D12" s="129">
        <v>6000</v>
      </c>
      <c r="E12" s="131"/>
    </row>
    <row r="13" spans="1:7" ht="36" customHeight="1">
      <c r="A13" s="181"/>
      <c r="B13" s="119" t="s">
        <v>860</v>
      </c>
      <c r="C13" s="119" t="s">
        <v>861</v>
      </c>
      <c r="D13" s="129">
        <v>8000</v>
      </c>
      <c r="E13" s="131"/>
    </row>
    <row r="14" spans="1:7" ht="36" customHeight="1">
      <c r="A14" s="181"/>
      <c r="B14" s="119" t="s">
        <v>862</v>
      </c>
      <c r="C14" s="119" t="s">
        <v>863</v>
      </c>
      <c r="D14" s="129">
        <v>12000</v>
      </c>
      <c r="E14" s="131"/>
    </row>
    <row r="15" spans="1:7" ht="54" customHeight="1">
      <c r="A15" s="181"/>
      <c r="B15" s="119" t="s">
        <v>864</v>
      </c>
      <c r="C15" s="119" t="s">
        <v>865</v>
      </c>
      <c r="D15" s="129">
        <v>3000</v>
      </c>
      <c r="E15" s="131"/>
    </row>
    <row r="16" spans="1:7" ht="36" customHeight="1">
      <c r="A16" s="181"/>
      <c r="B16" s="119" t="s">
        <v>866</v>
      </c>
      <c r="C16" s="119" t="s">
        <v>867</v>
      </c>
      <c r="D16" s="129">
        <v>30000</v>
      </c>
      <c r="E16" s="131"/>
    </row>
    <row r="17" spans="1:5" ht="36" customHeight="1">
      <c r="A17" s="181"/>
      <c r="B17" s="119" t="s">
        <v>868</v>
      </c>
      <c r="C17" s="119" t="s">
        <v>869</v>
      </c>
      <c r="D17" s="129">
        <v>15000</v>
      </c>
      <c r="E17" s="131"/>
    </row>
    <row r="18" spans="1:5" ht="54" customHeight="1">
      <c r="A18" s="181"/>
      <c r="B18" s="119" t="s">
        <v>870</v>
      </c>
      <c r="C18" s="119" t="s">
        <v>871</v>
      </c>
      <c r="D18" s="129">
        <v>20000</v>
      </c>
      <c r="E18" s="131"/>
    </row>
    <row r="19" spans="1:5" ht="36" customHeight="1">
      <c r="A19" s="120" t="s">
        <v>857</v>
      </c>
      <c r="B19" s="120" t="s">
        <v>872</v>
      </c>
      <c r="C19" s="120"/>
      <c r="D19" s="130">
        <f>SUM(D12:D18)</f>
        <v>94000</v>
      </c>
      <c r="E19" s="131"/>
    </row>
    <row r="20" spans="1:5" ht="54" customHeight="1">
      <c r="A20" s="180" t="s">
        <v>873</v>
      </c>
      <c r="B20" s="119" t="s">
        <v>874</v>
      </c>
      <c r="C20" s="119" t="s">
        <v>875</v>
      </c>
      <c r="D20" s="129">
        <v>40000</v>
      </c>
      <c r="E20" s="131" t="s">
        <v>876</v>
      </c>
    </row>
    <row r="21" spans="1:5" ht="54" customHeight="1">
      <c r="A21" s="181"/>
      <c r="B21" s="119" t="s">
        <v>877</v>
      </c>
      <c r="C21" s="119" t="s">
        <v>878</v>
      </c>
      <c r="D21" s="129">
        <v>55000</v>
      </c>
      <c r="E21" s="131" t="s">
        <v>876</v>
      </c>
    </row>
    <row r="22" spans="1:5" ht="36" customHeight="1">
      <c r="A22" s="181"/>
      <c r="B22" s="119" t="s">
        <v>879</v>
      </c>
      <c r="C22" s="119" t="s">
        <v>880</v>
      </c>
      <c r="D22" s="129">
        <v>20000</v>
      </c>
      <c r="E22" s="131"/>
    </row>
    <row r="23" spans="1:5" ht="36" customHeight="1">
      <c r="A23" s="181"/>
      <c r="B23" s="119" t="s">
        <v>881</v>
      </c>
      <c r="C23" s="119" t="s">
        <v>882</v>
      </c>
      <c r="D23" s="129">
        <v>8000</v>
      </c>
      <c r="E23" s="131"/>
    </row>
    <row r="24" spans="1:5" ht="36" customHeight="1">
      <c r="A24" s="181"/>
      <c r="B24" s="119" t="s">
        <v>883</v>
      </c>
      <c r="C24" s="119" t="s">
        <v>884</v>
      </c>
      <c r="D24" s="129">
        <v>12000</v>
      </c>
      <c r="E24" s="131"/>
    </row>
    <row r="25" spans="1:5" ht="36" customHeight="1">
      <c r="A25" s="181"/>
      <c r="B25" s="119" t="s">
        <v>885</v>
      </c>
      <c r="C25" s="119" t="s">
        <v>886</v>
      </c>
      <c r="D25" s="129">
        <v>6000</v>
      </c>
      <c r="E25" s="131"/>
    </row>
    <row r="26" spans="1:5" ht="36" customHeight="1">
      <c r="A26" s="181"/>
      <c r="B26" s="119" t="s">
        <v>887</v>
      </c>
      <c r="C26" s="119" t="s">
        <v>888</v>
      </c>
      <c r="D26" s="129">
        <v>6000</v>
      </c>
      <c r="E26" s="131"/>
    </row>
    <row r="27" spans="1:5" ht="36" customHeight="1">
      <c r="A27" s="120" t="s">
        <v>873</v>
      </c>
      <c r="B27" s="120" t="s">
        <v>889</v>
      </c>
      <c r="C27" s="120"/>
      <c r="D27" s="130">
        <f>SUM(D20:D26)</f>
        <v>147000</v>
      </c>
      <c r="E27" s="131"/>
    </row>
    <row r="28" spans="1:5" ht="36" customHeight="1">
      <c r="A28" s="180" t="s">
        <v>890</v>
      </c>
      <c r="B28" s="119" t="s">
        <v>891</v>
      </c>
      <c r="C28" s="119" t="s">
        <v>892</v>
      </c>
      <c r="D28" s="129">
        <v>120000</v>
      </c>
      <c r="E28" s="131"/>
    </row>
    <row r="29" spans="1:5" ht="36" customHeight="1">
      <c r="A29" s="181"/>
      <c r="B29" s="119" t="s">
        <v>893</v>
      </c>
      <c r="C29" s="119" t="s">
        <v>894</v>
      </c>
      <c r="D29" s="129">
        <v>18000</v>
      </c>
      <c r="E29" s="131"/>
    </row>
    <row r="30" spans="1:5" ht="36" customHeight="1">
      <c r="A30" s="181"/>
      <c r="B30" s="119" t="s">
        <v>895</v>
      </c>
      <c r="C30" s="119" t="s">
        <v>896</v>
      </c>
      <c r="D30" s="129">
        <v>20000</v>
      </c>
      <c r="E30" s="131"/>
    </row>
    <row r="31" spans="1:5" ht="36" customHeight="1">
      <c r="A31" s="181"/>
      <c r="B31" s="119" t="s">
        <v>897</v>
      </c>
      <c r="C31" s="119" t="s">
        <v>898</v>
      </c>
      <c r="D31" s="129">
        <v>30000</v>
      </c>
      <c r="E31" s="131"/>
    </row>
    <row r="32" spans="1:5" ht="36" customHeight="1">
      <c r="A32" s="181"/>
      <c r="B32" s="119" t="s">
        <v>899</v>
      </c>
      <c r="C32" s="119" t="s">
        <v>900</v>
      </c>
      <c r="D32" s="129">
        <v>30000</v>
      </c>
      <c r="E32" s="131"/>
    </row>
    <row r="33" spans="1:5" ht="18" customHeight="1">
      <c r="A33" s="120" t="s">
        <v>890</v>
      </c>
      <c r="B33" s="120" t="s">
        <v>901</v>
      </c>
      <c r="C33" s="120"/>
      <c r="D33" s="130">
        <f>SUM(D28:D32)</f>
        <v>218000</v>
      </c>
      <c r="E33" s="131"/>
    </row>
    <row r="34" spans="1:5" ht="54" customHeight="1">
      <c r="A34" s="180" t="s">
        <v>902</v>
      </c>
      <c r="B34" s="119" t="s">
        <v>903</v>
      </c>
      <c r="C34" s="119" t="s">
        <v>904</v>
      </c>
      <c r="D34" s="129">
        <v>20000</v>
      </c>
      <c r="E34" s="132"/>
    </row>
    <row r="35" spans="1:5" ht="36" customHeight="1">
      <c r="A35" s="181"/>
      <c r="B35" s="119" t="s">
        <v>905</v>
      </c>
      <c r="C35" s="119" t="s">
        <v>906</v>
      </c>
      <c r="D35" s="129">
        <v>15000</v>
      </c>
      <c r="E35" s="132"/>
    </row>
    <row r="36" spans="1:5" ht="36" customHeight="1">
      <c r="A36" s="181"/>
      <c r="B36" s="119" t="s">
        <v>907</v>
      </c>
      <c r="C36" s="119" t="s">
        <v>908</v>
      </c>
      <c r="D36" s="129">
        <v>60000</v>
      </c>
      <c r="E36" s="132"/>
    </row>
    <row r="37" spans="1:5" ht="36" customHeight="1">
      <c r="A37" s="181"/>
      <c r="B37" s="119" t="s">
        <v>909</v>
      </c>
      <c r="C37" s="119" t="s">
        <v>910</v>
      </c>
      <c r="D37" s="129">
        <v>25000</v>
      </c>
      <c r="E37" s="132"/>
    </row>
    <row r="38" spans="1:5" ht="54" customHeight="1">
      <c r="A38" s="181"/>
      <c r="B38" s="119" t="s">
        <v>911</v>
      </c>
      <c r="C38" s="119" t="s">
        <v>912</v>
      </c>
      <c r="D38" s="129">
        <v>12000</v>
      </c>
      <c r="E38" s="132"/>
    </row>
    <row r="39" spans="1:5" ht="36" customHeight="1">
      <c r="A39" s="181"/>
      <c r="B39" s="119" t="s">
        <v>913</v>
      </c>
      <c r="C39" s="119" t="s">
        <v>914</v>
      </c>
      <c r="D39" s="129">
        <v>20000</v>
      </c>
      <c r="E39" s="132"/>
    </row>
    <row r="40" spans="1:5" ht="54" customHeight="1">
      <c r="A40" s="181"/>
      <c r="B40" s="119" t="s">
        <v>915</v>
      </c>
      <c r="C40" s="119" t="s">
        <v>916</v>
      </c>
      <c r="D40" s="129">
        <v>5000</v>
      </c>
      <c r="E40" s="132"/>
    </row>
    <row r="41" spans="1:5" ht="54" customHeight="1">
      <c r="A41" s="181"/>
      <c r="B41" s="119" t="s">
        <v>917</v>
      </c>
      <c r="C41" s="119" t="s">
        <v>918</v>
      </c>
      <c r="D41" s="129">
        <v>35000</v>
      </c>
      <c r="E41" s="132"/>
    </row>
    <row r="42" spans="1:5" ht="36" customHeight="1">
      <c r="A42" s="181"/>
      <c r="B42" s="119" t="s">
        <v>919</v>
      </c>
      <c r="C42" s="119" t="s">
        <v>920</v>
      </c>
      <c r="D42" s="129">
        <v>5000</v>
      </c>
      <c r="E42" s="132" t="s">
        <v>921</v>
      </c>
    </row>
    <row r="43" spans="1:5" ht="54" customHeight="1">
      <c r="A43" s="181"/>
      <c r="B43" s="119" t="s">
        <v>922</v>
      </c>
      <c r="C43" s="119" t="s">
        <v>923</v>
      </c>
      <c r="D43" s="129">
        <v>90000</v>
      </c>
      <c r="E43" s="132" t="s">
        <v>921</v>
      </c>
    </row>
    <row r="44" spans="1:5" ht="36" customHeight="1">
      <c r="A44" s="181"/>
      <c r="B44" s="119" t="s">
        <v>924</v>
      </c>
      <c r="C44" s="119" t="s">
        <v>925</v>
      </c>
      <c r="D44" s="129">
        <v>20000</v>
      </c>
      <c r="E44" s="132" t="s">
        <v>921</v>
      </c>
    </row>
    <row r="45" spans="1:5" ht="36" customHeight="1">
      <c r="A45" s="181"/>
      <c r="B45" s="119" t="s">
        <v>926</v>
      </c>
      <c r="C45" s="119" t="s">
        <v>927</v>
      </c>
      <c r="D45" s="129">
        <v>5000</v>
      </c>
      <c r="E45" s="132"/>
    </row>
    <row r="46" spans="1:5" ht="36" customHeight="1">
      <c r="A46" s="181"/>
      <c r="B46" s="119" t="s">
        <v>928</v>
      </c>
      <c r="C46" s="119" t="s">
        <v>929</v>
      </c>
      <c r="D46" s="129">
        <v>6000</v>
      </c>
      <c r="E46" s="132" t="s">
        <v>921</v>
      </c>
    </row>
    <row r="47" spans="1:5" ht="36" customHeight="1">
      <c r="A47" s="181"/>
      <c r="B47" s="119" t="s">
        <v>930</v>
      </c>
      <c r="C47" s="119" t="s">
        <v>931</v>
      </c>
      <c r="D47" s="129">
        <v>18000</v>
      </c>
      <c r="E47" s="132" t="s">
        <v>921</v>
      </c>
    </row>
    <row r="48" spans="1:5" ht="36" customHeight="1">
      <c r="A48" s="181"/>
      <c r="B48" s="119" t="s">
        <v>932</v>
      </c>
      <c r="C48" s="119" t="s">
        <v>933</v>
      </c>
      <c r="D48" s="129">
        <v>20000</v>
      </c>
      <c r="E48" s="132" t="s">
        <v>921</v>
      </c>
    </row>
    <row r="49" spans="1:5" ht="36" customHeight="1">
      <c r="A49" s="181"/>
      <c r="B49" s="119" t="s">
        <v>934</v>
      </c>
      <c r="C49" s="119" t="s">
        <v>935</v>
      </c>
      <c r="D49" s="129">
        <v>20000</v>
      </c>
      <c r="E49" s="132" t="s">
        <v>921</v>
      </c>
    </row>
    <row r="50" spans="1:5" ht="36" customHeight="1">
      <c r="A50" s="181"/>
      <c r="B50" s="119" t="s">
        <v>936</v>
      </c>
      <c r="C50" s="119" t="s">
        <v>937</v>
      </c>
      <c r="D50" s="129">
        <v>120000</v>
      </c>
      <c r="E50" s="132" t="s">
        <v>921</v>
      </c>
    </row>
    <row r="51" spans="1:5" ht="18" customHeight="1">
      <c r="A51" s="120" t="s">
        <v>902</v>
      </c>
      <c r="B51" s="120" t="s">
        <v>938</v>
      </c>
      <c r="C51" s="120"/>
      <c r="D51" s="121">
        <f>SUMIF(E34:E50,"&lt;&gt;Ainda não executado",D34:D50)</f>
        <v>197000</v>
      </c>
    </row>
    <row r="52" spans="1:5" ht="18" customHeight="1">
      <c r="C52" s="118" t="s">
        <v>939</v>
      </c>
      <c r="D52" s="122">
        <f>SUM(D11,D19,D27,D33,D51)</f>
        <v>741000</v>
      </c>
    </row>
    <row r="53" spans="1:5" ht="18" customHeight="1">
      <c r="C53" s="118" t="s">
        <v>940</v>
      </c>
    </row>
    <row r="54" spans="1:5" ht="18" customHeight="1">
      <c r="C54" s="118" t="s">
        <v>941</v>
      </c>
      <c r="D54" s="128">
        <f>CAPEX!C16</f>
        <v>5498000</v>
      </c>
    </row>
    <row r="55" spans="1:5" ht="18" customHeight="1">
      <c r="C55" s="118" t="s">
        <v>942</v>
      </c>
      <c r="D55" s="123">
        <f>D52/(D54)</f>
        <v>0.13477628228446709</v>
      </c>
    </row>
  </sheetData>
  <mergeCells count="5">
    <mergeCell ref="A34:A50"/>
    <mergeCell ref="A12:A18"/>
    <mergeCell ref="A3:A10"/>
    <mergeCell ref="A28:A32"/>
    <mergeCell ref="A20:A2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0080"/>
  </sheetPr>
  <dimension ref="A1:A2"/>
  <sheetViews>
    <sheetView zoomScaleNormal="100" workbookViewId="0">
      <selection activeCell="R22" sqref="R22"/>
    </sheetView>
  </sheetViews>
  <sheetFormatPr defaultColWidth="8.7109375" defaultRowHeight="15"/>
  <sheetData>
    <row r="1" spans="1:1" ht="15.75" customHeight="1">
      <c r="A1" s="12" t="s">
        <v>943</v>
      </c>
    </row>
    <row r="2" spans="1:1">
      <c r="A2" s="8" t="s">
        <v>944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A86C8"/>
  </sheetPr>
  <dimension ref="A1:G14"/>
  <sheetViews>
    <sheetView zoomScaleNormal="100" workbookViewId="0"/>
  </sheetViews>
  <sheetFormatPr defaultColWidth="8.7109375" defaultRowHeight="15"/>
  <cols>
    <col min="1" max="1" width="3" customWidth="1"/>
    <col min="2" max="2" width="42" customWidth="1"/>
    <col min="3" max="3" width="14" customWidth="1"/>
    <col min="4" max="7" width="18" customWidth="1"/>
  </cols>
  <sheetData>
    <row r="1" spans="1:7" ht="15.75" customHeight="1">
      <c r="A1" s="99"/>
      <c r="B1" s="43" t="s">
        <v>945</v>
      </c>
      <c r="C1" s="99"/>
      <c r="D1" s="99"/>
      <c r="E1" s="99"/>
      <c r="F1" s="99"/>
      <c r="G1" s="99"/>
    </row>
    <row r="2" spans="1:7" ht="22.5" customHeight="1">
      <c r="A2" s="99"/>
      <c r="B2" s="44" t="s">
        <v>946</v>
      </c>
      <c r="C2" s="99"/>
      <c r="D2" s="99"/>
      <c r="E2" s="99"/>
      <c r="F2" s="99"/>
      <c r="G2" s="99"/>
    </row>
    <row r="3" spans="1:7">
      <c r="A3" s="99"/>
      <c r="B3" s="99"/>
      <c r="C3" s="99"/>
      <c r="D3" s="99"/>
      <c r="E3" s="99"/>
      <c r="F3" s="99"/>
      <c r="G3" s="99"/>
    </row>
    <row r="4" spans="1:7">
      <c r="A4" s="99"/>
      <c r="B4" s="45" t="s">
        <v>947</v>
      </c>
      <c r="C4" s="45" t="s">
        <v>275</v>
      </c>
      <c r="D4" s="45" t="s">
        <v>948</v>
      </c>
      <c r="E4" s="45" t="s">
        <v>949</v>
      </c>
      <c r="F4" s="45" t="s">
        <v>950</v>
      </c>
      <c r="G4" s="45" t="s">
        <v>951</v>
      </c>
    </row>
    <row r="5" spans="1:7">
      <c r="A5" s="99"/>
      <c r="B5" s="46" t="s">
        <v>952</v>
      </c>
      <c r="C5" s="47"/>
      <c r="D5" s="47"/>
      <c r="E5" s="47"/>
      <c r="F5" s="47"/>
      <c r="G5" s="47"/>
    </row>
    <row r="6" spans="1:7">
      <c r="A6" s="99"/>
      <c r="B6" s="48" t="s">
        <v>953</v>
      </c>
      <c r="C6" s="50" t="s">
        <v>328</v>
      </c>
      <c r="D6" s="49">
        <v>120</v>
      </c>
      <c r="E6" s="92">
        <f>PREMISSAS!$C$30</f>
        <v>170</v>
      </c>
      <c r="F6" s="49">
        <v>250</v>
      </c>
      <c r="G6" s="49">
        <v>320</v>
      </c>
    </row>
    <row r="7" spans="1:7">
      <c r="A7" s="99"/>
      <c r="B7" s="48" t="s">
        <v>954</v>
      </c>
      <c r="C7" s="50" t="s">
        <v>284</v>
      </c>
      <c r="D7" s="51">
        <v>0.04</v>
      </c>
      <c r="E7" s="92">
        <f>PREMISSAS!$C$7</f>
        <v>0.06</v>
      </c>
      <c r="F7" s="51">
        <v>0.08</v>
      </c>
      <c r="G7" s="51">
        <v>0.1</v>
      </c>
    </row>
    <row r="8" spans="1:7">
      <c r="A8" s="99"/>
      <c r="B8" s="48" t="s">
        <v>955</v>
      </c>
      <c r="C8" s="50" t="s">
        <v>284</v>
      </c>
      <c r="D8" s="51">
        <v>0.27</v>
      </c>
      <c r="E8" s="92">
        <f>PREMISSAS!$C$26</f>
        <v>0.3</v>
      </c>
      <c r="F8" s="51">
        <v>0.33</v>
      </c>
      <c r="G8" s="51">
        <v>0.35</v>
      </c>
    </row>
    <row r="9" spans="1:7">
      <c r="A9" s="99"/>
      <c r="B9" s="48" t="s">
        <v>956</v>
      </c>
      <c r="C9" s="50" t="s">
        <v>957</v>
      </c>
      <c r="D9" s="113">
        <v>1.2</v>
      </c>
      <c r="E9" s="114">
        <v>1</v>
      </c>
      <c r="F9" s="51">
        <v>0.9</v>
      </c>
      <c r="G9" s="51">
        <v>0.9</v>
      </c>
    </row>
    <row r="10" spans="1:7">
      <c r="A10" s="99"/>
      <c r="B10" s="48" t="s">
        <v>958</v>
      </c>
      <c r="C10" s="50" t="s">
        <v>284</v>
      </c>
      <c r="D10" s="51">
        <v>0.12</v>
      </c>
      <c r="E10" s="92">
        <f>PREMISSAS!$C$101</f>
        <v>0.1</v>
      </c>
      <c r="F10" s="51">
        <v>0.1</v>
      </c>
      <c r="G10" s="51">
        <v>0.08</v>
      </c>
    </row>
    <row r="11" spans="1:7" ht="24" customHeight="1">
      <c r="A11" s="99"/>
      <c r="B11" s="48" t="s">
        <v>29</v>
      </c>
      <c r="C11" s="50" t="s">
        <v>359</v>
      </c>
      <c r="D11" s="93" t="s">
        <v>959</v>
      </c>
      <c r="E11" s="92" t="str">
        <f>PREMISSAS!$C$47</f>
        <v>Cemig A4 Verde 360 kW</v>
      </c>
      <c r="F11" s="93" t="s">
        <v>959</v>
      </c>
      <c r="G11" s="93" t="s">
        <v>959</v>
      </c>
    </row>
    <row r="12" spans="1:7" ht="45" customHeight="1">
      <c r="A12" s="99"/>
      <c r="B12" s="99" t="s">
        <v>960</v>
      </c>
      <c r="C12" s="99" t="s">
        <v>961</v>
      </c>
      <c r="D12" s="99" t="s">
        <v>962</v>
      </c>
      <c r="E12" s="99" t="s">
        <v>963</v>
      </c>
      <c r="F12" s="99" t="s">
        <v>964</v>
      </c>
      <c r="G12" s="99" t="s">
        <v>964</v>
      </c>
    </row>
    <row r="13" spans="1:7" ht="25.5" customHeight="1">
      <c r="A13" s="99"/>
      <c r="B13" s="46" t="s">
        <v>965</v>
      </c>
      <c r="C13" s="47"/>
      <c r="D13" s="47"/>
      <c r="E13" s="47"/>
      <c r="F13" s="47"/>
      <c r="G13" s="47"/>
    </row>
    <row r="14" spans="1:7" ht="22.5" customHeight="1">
      <c r="A14" s="99"/>
      <c r="B14" s="44" t="s">
        <v>966</v>
      </c>
      <c r="C14" s="99"/>
      <c r="D14" s="99"/>
      <c r="E14" s="99"/>
      <c r="F14" s="99"/>
      <c r="G14" s="9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7"/>
  <sheetViews>
    <sheetView topLeftCell="K16" workbookViewId="0">
      <selection activeCell="K59" sqref="K59"/>
    </sheetView>
  </sheetViews>
  <sheetFormatPr defaultRowHeight="15"/>
  <cols>
    <col min="1" max="1" width="15.28515625" customWidth="1"/>
    <col min="2" max="2" width="21" customWidth="1"/>
    <col min="3" max="3" width="24.7109375" customWidth="1"/>
    <col min="4" max="4" width="12" bestFit="1" customWidth="1"/>
  </cols>
  <sheetData>
    <row r="1" spans="1:7" ht="21" customHeight="1">
      <c r="A1" s="184" t="s">
        <v>967</v>
      </c>
      <c r="B1" s="172"/>
      <c r="C1" s="172"/>
      <c r="D1" s="172"/>
      <c r="E1" s="172"/>
      <c r="F1" s="172"/>
    </row>
    <row r="2" spans="1:7">
      <c r="A2" s="183" t="s">
        <v>968</v>
      </c>
      <c r="B2" s="172"/>
      <c r="C2" s="172"/>
      <c r="D2" s="172"/>
      <c r="E2" s="172"/>
      <c r="F2" s="172"/>
    </row>
    <row r="4" spans="1:7">
      <c r="A4" s="187" t="s">
        <v>969</v>
      </c>
      <c r="B4" s="172"/>
      <c r="C4" s="172"/>
      <c r="E4" s="185" t="s">
        <v>970</v>
      </c>
      <c r="F4" s="172"/>
      <c r="G4" s="172"/>
    </row>
    <row r="5" spans="1:7">
      <c r="A5" s="24" t="s">
        <v>568</v>
      </c>
      <c r="B5" s="24" t="s">
        <v>524</v>
      </c>
      <c r="C5" s="24" t="s">
        <v>525</v>
      </c>
      <c r="E5" s="30" t="s">
        <v>568</v>
      </c>
      <c r="F5" s="30" t="s">
        <v>971</v>
      </c>
      <c r="G5" s="30" t="s">
        <v>972</v>
      </c>
    </row>
    <row r="6" spans="1:7">
      <c r="A6" t="str">
        <f>CAPEX!B6</f>
        <v>Reator de pirólise BST-30</v>
      </c>
      <c r="B6" s="25">
        <f>CAPEX!C6</f>
        <v>2210000</v>
      </c>
      <c r="C6" s="26">
        <f>CAPEX!D6</f>
        <v>0.40196435067297198</v>
      </c>
      <c r="E6" t="str">
        <f>OPEX!B12</f>
        <v>Mao de obra operacional</v>
      </c>
      <c r="F6" s="25">
        <f>OPEX!F12</f>
        <v>354675.82751999993</v>
      </c>
      <c r="G6" t="s">
        <v>973</v>
      </c>
    </row>
    <row r="7" spans="1:7">
      <c r="A7" t="str">
        <f>CAPEX!B15</f>
        <v>Serviços Astra Carbon</v>
      </c>
      <c r="B7" s="25">
        <f>CAPEX!C15</f>
        <v>741000</v>
      </c>
      <c r="C7" s="26">
        <f>CAPEX!D15</f>
        <v>0.13477628228446709</v>
      </c>
      <c r="E7" t="str">
        <f>OPEX!B5</f>
        <v>Energia eletrica variavel - somente meses com operacao</v>
      </c>
      <c r="F7" s="25">
        <f>OPEX!F5</f>
        <v>624196.08697111707</v>
      </c>
      <c r="G7" t="s">
        <v>974</v>
      </c>
    </row>
    <row r="8" spans="1:7">
      <c r="A8" t="str">
        <f>CAPEX!B10</f>
        <v>Montagem e comissionamento</v>
      </c>
      <c r="B8" s="25">
        <f>CAPEX!C10</f>
        <v>450000</v>
      </c>
      <c r="C8" s="26">
        <f>CAPEX!D10</f>
        <v>8.1847944707166248E-2</v>
      </c>
      <c r="E8" t="str">
        <f>OPEX!B7</f>
        <v>Logistica de transporte</v>
      </c>
      <c r="F8" s="25">
        <f>OPEX!F7</f>
        <v>236450.55167999998</v>
      </c>
      <c r="G8" t="s">
        <v>974</v>
      </c>
    </row>
    <row r="9" spans="1:7">
      <c r="A9" t="str">
        <f>CAPEX!B5</f>
        <v>Infraestrutura civil</v>
      </c>
      <c r="B9" s="25">
        <f>CAPEX!C5</f>
        <v>400000</v>
      </c>
      <c r="C9" s="26">
        <f>CAPEX!D5</f>
        <v>7.275372862859221E-2</v>
      </c>
      <c r="E9" t="str">
        <f>OPEX!B16</f>
        <v>Demanda contratada Cemig A4 Verde 360 kW - 12 meses</v>
      </c>
      <c r="F9" s="25">
        <f>OPEX!F16</f>
        <v>129214.79150275369</v>
      </c>
      <c r="G9" t="s">
        <v>645</v>
      </c>
    </row>
    <row r="10" spans="1:7">
      <c r="A10" t="str">
        <f>CAPEX!B13</f>
        <v>Plano de MRV e data room</v>
      </c>
      <c r="B10" s="25">
        <f>CAPEX!C13</f>
        <v>150000</v>
      </c>
      <c r="C10" s="26">
        <f>CAPEX!D13</f>
        <v>2.728264823572208E-2</v>
      </c>
      <c r="E10" t="str">
        <f>OPEX!B6</f>
        <v>Logistica de coleta</v>
      </c>
      <c r="F10" s="25">
        <f>OPEX!F6</f>
        <v>141870.33100799998</v>
      </c>
      <c r="G10" t="s">
        <v>974</v>
      </c>
    </row>
    <row r="11" spans="1:7">
      <c r="A11" t="str">
        <f>CAPEX!B9</f>
        <v>Frete + seguro + sobressalentes</v>
      </c>
      <c r="B11" s="25">
        <f>CAPEX!C9</f>
        <v>312000</v>
      </c>
      <c r="C11" s="26">
        <f>CAPEX!D9</f>
        <v>5.6747908330301931E-2</v>
      </c>
      <c r="E11" t="str">
        <f>OPEX!B17</f>
        <v>Auditoria e verificacao anual</v>
      </c>
      <c r="F11" s="25">
        <f>OPEX!F17</f>
        <v>100000</v>
      </c>
      <c r="G11" t="s">
        <v>645</v>
      </c>
    </row>
    <row r="12" spans="1:7">
      <c r="A12" t="str">
        <f>CAPEX!B4</f>
        <v>Terraplanagem e drenagem</v>
      </c>
      <c r="B12" s="25">
        <f>CAPEX!C4</f>
        <v>300000</v>
      </c>
      <c r="C12" s="26">
        <f>CAPEX!D4</f>
        <v>5.4565296471444161E-2</v>
      </c>
      <c r="E12" t="str">
        <f>OPEX!B13</f>
        <v>O&amp;M reator BST-30</v>
      </c>
      <c r="F12" s="25">
        <f>OPEX!F13</f>
        <v>22100</v>
      </c>
      <c r="G12" t="s">
        <v>973</v>
      </c>
    </row>
    <row r="13" spans="1:7">
      <c r="A13" t="str">
        <f>CAPEX!B3</f>
        <v>Instalação elétrica</v>
      </c>
      <c r="B13" s="25">
        <f>CAPEX!C3</f>
        <v>0</v>
      </c>
      <c r="C13" s="26">
        <f>CAPEX!D3</f>
        <v>0</v>
      </c>
      <c r="E13" t="str">
        <f>OPEX!B18</f>
        <v>Renovacao LCA + relatorio</v>
      </c>
      <c r="F13" s="25">
        <f>OPEX!F18</f>
        <v>35000</v>
      </c>
      <c r="G13" t="s">
        <v>645</v>
      </c>
    </row>
    <row r="14" spans="1:7">
      <c r="A14" t="str">
        <f>CAPEX!B7</f>
        <v>Linha de cominuição / triturador</v>
      </c>
      <c r="B14" s="25">
        <f>CAPEX!C7</f>
        <v>240000</v>
      </c>
      <c r="C14" s="26">
        <f>CAPEX!D7</f>
        <v>4.3652237177155329E-2</v>
      </c>
      <c r="E14" t="str">
        <f>OPEX!B9</f>
        <v>Material de laboratorio</v>
      </c>
      <c r="F14" s="25">
        <f>OPEX!F9</f>
        <v>36094.176713952002</v>
      </c>
      <c r="G14" t="s">
        <v>974</v>
      </c>
    </row>
    <row r="15" spans="1:7">
      <c r="A15" t="str">
        <f>CAPEX!B8</f>
        <v>Secador de biomassa</v>
      </c>
      <c r="B15" s="25">
        <f>CAPEX!C8</f>
        <v>150000</v>
      </c>
      <c r="C15" s="26">
        <f>CAPEX!D8</f>
        <v>2.728264823572208E-2</v>
      </c>
      <c r="E15" t="str">
        <f>OPEX!B8</f>
        <v>Big bags e embalagem</v>
      </c>
      <c r="F15" s="25">
        <f>OPEX!F8</f>
        <v>25264.741447008</v>
      </c>
      <c r="G15" t="s">
        <v>974</v>
      </c>
    </row>
    <row r="16" spans="1:7">
      <c r="A16" t="str">
        <f>CAPEX!B14</f>
        <v>Auditoria e certificação inicial</v>
      </c>
      <c r="B16" s="25">
        <f>CAPEX!C14</f>
        <v>100000</v>
      </c>
      <c r="C16" s="26">
        <f>CAPEX!D14</f>
        <v>1.8188432157148052E-2</v>
      </c>
      <c r="E16" t="str">
        <f>OPEX!B19</f>
        <v>Treinamento e outros fixos</v>
      </c>
      <c r="F16" s="25">
        <f>OPEX!F19</f>
        <v>10000</v>
      </c>
      <c r="G16" t="s">
        <v>645</v>
      </c>
    </row>
    <row r="17" spans="1:7">
      <c r="A17" t="str">
        <f>CAPEX!B12</f>
        <v>Análise de Ciclo de Vida (ACV)</v>
      </c>
      <c r="B17" s="25">
        <f>CAPEX!C12</f>
        <v>45000</v>
      </c>
      <c r="C17" s="26">
        <f>CAPEX!D12</f>
        <v>8.1847944707166241E-3</v>
      </c>
      <c r="E17" s="30" t="s">
        <v>975</v>
      </c>
      <c r="F17" s="31">
        <f>OPEX!F22</f>
        <v>1734535.5068428307</v>
      </c>
      <c r="G17" s="32"/>
    </row>
    <row r="18" spans="1:7">
      <c r="A18" s="27" t="s">
        <v>975</v>
      </c>
      <c r="B18" s="28">
        <f>CAPEX!C16</f>
        <v>5498000</v>
      </c>
      <c r="C18" s="29">
        <v>1</v>
      </c>
    </row>
    <row r="21" spans="1:7">
      <c r="A21" s="187" t="s">
        <v>976</v>
      </c>
      <c r="B21" s="172"/>
      <c r="C21" s="172"/>
      <c r="D21" s="172"/>
      <c r="E21" s="172"/>
      <c r="F21" s="172"/>
    </row>
    <row r="22" spans="1:7">
      <c r="A22" s="188"/>
      <c r="B22" s="172"/>
      <c r="C22" s="172"/>
      <c r="D22" s="172"/>
      <c r="E22" s="172"/>
    </row>
    <row r="23" spans="1:7">
      <c r="A23" s="24" t="s">
        <v>977</v>
      </c>
      <c r="B23" s="24" t="s">
        <v>978</v>
      </c>
      <c r="C23" s="24" t="s">
        <v>979</v>
      </c>
      <c r="D23" s="24" t="s">
        <v>980</v>
      </c>
      <c r="E23" s="24" t="s">
        <v>981</v>
      </c>
    </row>
    <row r="24" spans="1:7">
      <c r="A24" t="s">
        <v>982</v>
      </c>
      <c r="B24" s="34">
        <v>0</v>
      </c>
      <c r="C24" s="34">
        <v>0</v>
      </c>
      <c r="D24" s="34">
        <v>0</v>
      </c>
      <c r="E24" s="34">
        <f>DRE_FCL!F5</f>
        <v>2897370.4800660484</v>
      </c>
    </row>
    <row r="25" spans="1:7">
      <c r="A25" t="s">
        <v>983</v>
      </c>
      <c r="B25" s="34">
        <f>DRE_FCL!F5+DRE_FCL!F6</f>
        <v>2897370.4800660484</v>
      </c>
      <c r="C25" s="34">
        <v>0</v>
      </c>
      <c r="D25" s="34">
        <f>-DRE_FCL!F6</f>
        <v>0</v>
      </c>
      <c r="E25" s="34">
        <v>0</v>
      </c>
    </row>
    <row r="26" spans="1:7">
      <c r="A26" t="s">
        <v>984</v>
      </c>
      <c r="B26" s="34">
        <f>DRE_FCL!F8</f>
        <v>1162834.9732232178</v>
      </c>
      <c r="C26" s="34">
        <v>0</v>
      </c>
      <c r="D26" s="34">
        <f>-DRE_FCL!F7</f>
        <v>1734535.5068428307</v>
      </c>
      <c r="E26" s="34">
        <v>0</v>
      </c>
    </row>
    <row r="27" spans="1:7">
      <c r="A27" t="s">
        <v>25</v>
      </c>
      <c r="B27" s="34">
        <v>0</v>
      </c>
      <c r="C27" s="34">
        <v>0</v>
      </c>
      <c r="D27" s="34">
        <v>0</v>
      </c>
      <c r="E27" s="34">
        <f>DRE_FCL!F8</f>
        <v>1162834.9732232178</v>
      </c>
    </row>
    <row r="28" spans="1:7">
      <c r="A28" t="s">
        <v>985</v>
      </c>
      <c r="B28" s="34">
        <f>DRE_FCL!F11</f>
        <v>939734.97322321776</v>
      </c>
      <c r="C28" s="34">
        <v>0</v>
      </c>
      <c r="D28" s="34">
        <f>-DRE_FCL!F10</f>
        <v>223100</v>
      </c>
      <c r="E28" s="34">
        <v>0</v>
      </c>
    </row>
    <row r="29" spans="1:7">
      <c r="A29" t="s">
        <v>234</v>
      </c>
      <c r="B29" s="34">
        <v>0</v>
      </c>
      <c r="C29" s="34">
        <v>0</v>
      </c>
      <c r="D29" s="34">
        <v>0</v>
      </c>
      <c r="E29" s="34">
        <f>DRE_FCL!F11</f>
        <v>939734.97322321776</v>
      </c>
    </row>
    <row r="30" spans="1:7">
      <c r="A30" t="s">
        <v>986</v>
      </c>
      <c r="B30" s="34">
        <f>DRE_FCL!F13</f>
        <v>376218.31292121427</v>
      </c>
      <c r="C30" s="34">
        <v>0</v>
      </c>
      <c r="D30" s="34">
        <f>-DRE_FCL!F12</f>
        <v>563516.6603020035</v>
      </c>
      <c r="E30" s="34">
        <v>0</v>
      </c>
    </row>
    <row r="31" spans="1:7">
      <c r="A31" t="s">
        <v>987</v>
      </c>
      <c r="B31" s="34">
        <v>0</v>
      </c>
      <c r="C31" s="34">
        <v>0</v>
      </c>
      <c r="D31" s="34">
        <v>0</v>
      </c>
      <c r="E31" s="34">
        <f>DRE_FCL!F13</f>
        <v>376218.31292121427</v>
      </c>
    </row>
    <row r="32" spans="1:7">
      <c r="A32" t="s">
        <v>988</v>
      </c>
      <c r="B32" s="34">
        <f>DRE_FCL!F13</f>
        <v>376218.31292121427</v>
      </c>
      <c r="C32" s="34">
        <f>DRE_FCL!F14</f>
        <v>223100</v>
      </c>
      <c r="D32" s="34">
        <v>0</v>
      </c>
      <c r="E32" s="34">
        <v>0</v>
      </c>
    </row>
    <row r="33" spans="1:8">
      <c r="A33" t="s">
        <v>26</v>
      </c>
      <c r="B33" s="34">
        <v>0</v>
      </c>
      <c r="C33" s="34">
        <v>0</v>
      </c>
      <c r="D33" s="34">
        <v>0</v>
      </c>
      <c r="E33" s="34">
        <f>DRE_FCL!F15</f>
        <v>599318.31292121427</v>
      </c>
    </row>
    <row r="35" spans="1:8">
      <c r="A35" s="186" t="s">
        <v>989</v>
      </c>
      <c r="B35" s="172"/>
      <c r="C35" s="172"/>
    </row>
    <row r="36" spans="1:8">
      <c r="A36" s="24" t="s">
        <v>659</v>
      </c>
      <c r="B36" s="24" t="s">
        <v>990</v>
      </c>
      <c r="C36" s="24" t="s">
        <v>692</v>
      </c>
      <c r="D36" s="24" t="s">
        <v>991</v>
      </c>
      <c r="E36" s="24" t="s">
        <v>992</v>
      </c>
      <c r="G36" s="35" t="s">
        <v>993</v>
      </c>
      <c r="H36" s="23">
        <f>IFERROR(_xlfn.AGGREGATE(15,6,A37:A57/(C37:C57&gt;=0),1),"-")</f>
        <v>2037</v>
      </c>
    </row>
    <row r="37" spans="1:8">
      <c r="A37" s="33" t="str">
        <f>DRE_FCL!E3</f>
        <v>2026</v>
      </c>
      <c r="B37" s="25">
        <f>DRE_FCL!E15</f>
        <v>-5498000</v>
      </c>
      <c r="C37" s="25">
        <f>B37</f>
        <v>-5498000</v>
      </c>
      <c r="D37" t="e">
        <f>IF(C37&gt;=0,C37,NA())</f>
        <v>#N/A</v>
      </c>
      <c r="E37">
        <v>0</v>
      </c>
      <c r="G37" s="101" t="s">
        <v>994</v>
      </c>
      <c r="H37" s="23">
        <f>PREMISSAS!C102</f>
        <v>0</v>
      </c>
    </row>
    <row r="38" spans="1:8">
      <c r="A38" s="33" t="str">
        <f>DRE_FCL!F3</f>
        <v>2027</v>
      </c>
      <c r="B38" s="25">
        <f>DRE_FCL!F15</f>
        <v>599318.31292121427</v>
      </c>
      <c r="C38" s="25">
        <f t="shared" ref="C38:C57" si="0">C37+B38</f>
        <v>-4898681.6870787861</v>
      </c>
      <c r="D38" t="e">
        <f t="shared" ref="D38:D57" si="1">IF(AND(C38&gt;=0,C37&lt;0),C38,NA())</f>
        <v>#N/A</v>
      </c>
      <c r="E38">
        <v>0</v>
      </c>
      <c r="G38" s="101" t="s">
        <v>995</v>
      </c>
      <c r="H38" s="23" t="str">
        <f>"FCL Acumulado — 2025 a 2045  (Breakeven "&amp;H36&amp;" ~ Astra "&amp;TEXT(H37,"0%")&amp;")"</f>
        <v>FCL Acumulado — 2025 a 2045  (Breakeven 2037 ~ Astra 0%)</v>
      </c>
    </row>
    <row r="39" spans="1:8">
      <c r="A39" s="33" t="str">
        <f>DRE_FCL!G3</f>
        <v>2028</v>
      </c>
      <c r="B39" s="25">
        <f>DRE_FCL!G15</f>
        <v>584732.31292121427</v>
      </c>
      <c r="C39" s="25">
        <f t="shared" si="0"/>
        <v>-4313949.3741575722</v>
      </c>
      <c r="D39" t="e">
        <f t="shared" si="1"/>
        <v>#N/A</v>
      </c>
      <c r="E39">
        <v>0</v>
      </c>
    </row>
    <row r="40" spans="1:8">
      <c r="A40" s="33" t="str">
        <f>DRE_FCL!H3</f>
        <v>2029</v>
      </c>
      <c r="B40" s="25">
        <f>DRE_FCL!H15</f>
        <v>570146.31292121427</v>
      </c>
      <c r="C40" s="25">
        <f t="shared" si="0"/>
        <v>-3743803.0612363578</v>
      </c>
      <c r="D40" t="e">
        <f t="shared" si="1"/>
        <v>#N/A</v>
      </c>
      <c r="E40">
        <v>0</v>
      </c>
    </row>
    <row r="41" spans="1:8">
      <c r="A41" s="33" t="str">
        <f>DRE_FCL!I3</f>
        <v>2030</v>
      </c>
      <c r="B41" s="25">
        <f>DRE_FCL!I15</f>
        <v>555560.31292121427</v>
      </c>
      <c r="C41" s="25">
        <f t="shared" si="0"/>
        <v>-3188242.7483151434</v>
      </c>
      <c r="D41" t="e">
        <f t="shared" si="1"/>
        <v>#N/A</v>
      </c>
      <c r="E41">
        <v>0</v>
      </c>
    </row>
    <row r="42" spans="1:8">
      <c r="A42" s="33" t="str">
        <f>DRE_FCL!J3</f>
        <v>2031</v>
      </c>
      <c r="B42" s="25">
        <f>DRE_FCL!J15</f>
        <v>540974.31292121427</v>
      </c>
      <c r="C42" s="25">
        <f t="shared" si="0"/>
        <v>-2647268.435393929</v>
      </c>
      <c r="D42" t="e">
        <f t="shared" si="1"/>
        <v>#N/A</v>
      </c>
      <c r="E42">
        <v>0</v>
      </c>
    </row>
    <row r="43" spans="1:8">
      <c r="A43" s="33" t="str">
        <f>DRE_FCL!K3</f>
        <v>2032</v>
      </c>
      <c r="B43" s="25">
        <f>DRE_FCL!K15</f>
        <v>526388.31292121427</v>
      </c>
      <c r="C43" s="25">
        <f t="shared" si="0"/>
        <v>-2120880.1224727146</v>
      </c>
      <c r="D43" t="e">
        <f t="shared" si="1"/>
        <v>#N/A</v>
      </c>
      <c r="E43">
        <v>0</v>
      </c>
    </row>
    <row r="44" spans="1:8">
      <c r="A44" s="33" t="str">
        <f>DRE_FCL!L3</f>
        <v>2033</v>
      </c>
      <c r="B44" s="25">
        <f>DRE_FCL!L15</f>
        <v>511802.31292121427</v>
      </c>
      <c r="C44" s="25">
        <f t="shared" si="0"/>
        <v>-1609077.8095515002</v>
      </c>
      <c r="D44" t="e">
        <f t="shared" si="1"/>
        <v>#N/A</v>
      </c>
      <c r="E44">
        <v>0</v>
      </c>
    </row>
    <row r="45" spans="1:8">
      <c r="A45" s="33" t="str">
        <f>DRE_FCL!M3</f>
        <v>2034</v>
      </c>
      <c r="B45" s="25">
        <f>DRE_FCL!M15</f>
        <v>497216.31292121427</v>
      </c>
      <c r="C45" s="25">
        <f t="shared" si="0"/>
        <v>-1111861.4966302859</v>
      </c>
      <c r="D45" t="e">
        <f t="shared" si="1"/>
        <v>#N/A</v>
      </c>
      <c r="E45">
        <v>0</v>
      </c>
    </row>
    <row r="46" spans="1:8">
      <c r="A46" s="33" t="str">
        <f>DRE_FCL!N3</f>
        <v>2035</v>
      </c>
      <c r="B46" s="25">
        <f>DRE_FCL!N15</f>
        <v>482630.31292121427</v>
      </c>
      <c r="C46" s="25">
        <f t="shared" si="0"/>
        <v>-629231.1837090716</v>
      </c>
      <c r="D46" t="e">
        <f t="shared" si="1"/>
        <v>#N/A</v>
      </c>
      <c r="E46">
        <v>0</v>
      </c>
    </row>
    <row r="47" spans="1:8">
      <c r="A47" s="33" t="str">
        <f>DRE_FCL!O3</f>
        <v>2036</v>
      </c>
      <c r="B47" s="25">
        <f>DRE_FCL!O15</f>
        <v>468044.31292121427</v>
      </c>
      <c r="C47" s="25">
        <f t="shared" si="0"/>
        <v>-161186.87078785733</v>
      </c>
      <c r="D47" t="e">
        <f t="shared" si="1"/>
        <v>#N/A</v>
      </c>
      <c r="E47">
        <v>0</v>
      </c>
    </row>
    <row r="48" spans="1:8">
      <c r="A48" s="33" t="str">
        <f>DRE_FCL!P3</f>
        <v>2037</v>
      </c>
      <c r="B48" s="25">
        <f>DRE_FCL!P15</f>
        <v>468044.31292121427</v>
      </c>
      <c r="C48" s="25">
        <f t="shared" si="0"/>
        <v>306857.44213335693</v>
      </c>
      <c r="D48">
        <f t="shared" si="1"/>
        <v>306857.44213335693</v>
      </c>
      <c r="E48">
        <v>0</v>
      </c>
    </row>
    <row r="49" spans="1:5">
      <c r="A49" s="33" t="str">
        <f>DRE_FCL!Q3</f>
        <v>2038</v>
      </c>
      <c r="B49" s="25">
        <f>DRE_FCL!Q15</f>
        <v>468044.31292121427</v>
      </c>
      <c r="C49" s="25">
        <f t="shared" si="0"/>
        <v>774901.7550545712</v>
      </c>
      <c r="D49" t="e">
        <f t="shared" si="1"/>
        <v>#N/A</v>
      </c>
      <c r="E49">
        <v>0</v>
      </c>
    </row>
    <row r="50" spans="1:5">
      <c r="A50" s="33" t="str">
        <f>DRE_FCL!R3</f>
        <v>2039</v>
      </c>
      <c r="B50" s="25">
        <f>DRE_FCL!R15</f>
        <v>468044.31292121427</v>
      </c>
      <c r="C50" s="25">
        <f t="shared" si="0"/>
        <v>1242946.0679757856</v>
      </c>
      <c r="D50" t="e">
        <f t="shared" si="1"/>
        <v>#N/A</v>
      </c>
      <c r="E50">
        <v>0</v>
      </c>
    </row>
    <row r="51" spans="1:5">
      <c r="A51" s="33" t="str">
        <f>DRE_FCL!S3</f>
        <v>2040</v>
      </c>
      <c r="B51" s="25">
        <f>DRE_FCL!S15</f>
        <v>468044.31292121427</v>
      </c>
      <c r="C51" s="25">
        <f t="shared" si="0"/>
        <v>1710990.380897</v>
      </c>
      <c r="D51" t="e">
        <f t="shared" si="1"/>
        <v>#N/A</v>
      </c>
      <c r="E51">
        <v>0</v>
      </c>
    </row>
    <row r="52" spans="1:5">
      <c r="A52" s="33" t="str">
        <f>DRE_FCL!T3</f>
        <v>2041</v>
      </c>
      <c r="B52" s="25">
        <f>DRE_FCL!T15</f>
        <v>468044.31292121427</v>
      </c>
      <c r="C52" s="25">
        <f t="shared" si="0"/>
        <v>2179034.6938182143</v>
      </c>
      <c r="D52" t="e">
        <f t="shared" si="1"/>
        <v>#N/A</v>
      </c>
      <c r="E52">
        <v>0</v>
      </c>
    </row>
    <row r="53" spans="1:5">
      <c r="A53" s="33" t="str">
        <f>DRE_FCL!U3</f>
        <v>2042</v>
      </c>
      <c r="B53" s="25">
        <f>DRE_FCL!U15</f>
        <v>468044.31292121427</v>
      </c>
      <c r="C53" s="25">
        <f t="shared" si="0"/>
        <v>2647079.0067394287</v>
      </c>
      <c r="D53" t="e">
        <f t="shared" si="1"/>
        <v>#N/A</v>
      </c>
      <c r="E53">
        <v>0</v>
      </c>
    </row>
    <row r="54" spans="1:5">
      <c r="A54" s="33" t="str">
        <f>DRE_FCL!V3</f>
        <v>2043</v>
      </c>
      <c r="B54" s="25">
        <f>DRE_FCL!V15</f>
        <v>468044.31292121427</v>
      </c>
      <c r="C54" s="25">
        <f t="shared" si="0"/>
        <v>3115123.3196606431</v>
      </c>
      <c r="D54" t="e">
        <f t="shared" si="1"/>
        <v>#N/A</v>
      </c>
      <c r="E54">
        <v>0</v>
      </c>
    </row>
    <row r="55" spans="1:5">
      <c r="A55" s="33" t="str">
        <f>DRE_FCL!W3</f>
        <v>2044</v>
      </c>
      <c r="B55" s="25">
        <f>DRE_FCL!W15</f>
        <v>468044.31292121427</v>
      </c>
      <c r="C55" s="25">
        <f t="shared" si="0"/>
        <v>3583167.6325818575</v>
      </c>
      <c r="D55" t="e">
        <f t="shared" si="1"/>
        <v>#N/A</v>
      </c>
      <c r="E55">
        <v>0</v>
      </c>
    </row>
    <row r="56" spans="1:5">
      <c r="A56" s="33" t="str">
        <f>DRE_FCL!X3</f>
        <v>2045</v>
      </c>
      <c r="B56" s="25">
        <f>DRE_FCL!X15</f>
        <v>468044.31292121427</v>
      </c>
      <c r="C56" s="25">
        <f t="shared" si="0"/>
        <v>4051211.9455030719</v>
      </c>
      <c r="D56" t="e">
        <f t="shared" si="1"/>
        <v>#N/A</v>
      </c>
      <c r="E56">
        <v>0</v>
      </c>
    </row>
    <row r="57" spans="1:5">
      <c r="A57" s="33" t="str">
        <f>DRE_FCL!Y3</f>
        <v>2046</v>
      </c>
      <c r="B57" s="25">
        <f>DRE_FCL!Y15</f>
        <v>468044.31292121427</v>
      </c>
      <c r="C57" s="25">
        <f t="shared" si="0"/>
        <v>4519256.2584242858</v>
      </c>
      <c r="D57" t="e">
        <f t="shared" si="1"/>
        <v>#N/A</v>
      </c>
      <c r="E57">
        <v>0</v>
      </c>
    </row>
  </sheetData>
  <mergeCells count="7">
    <mergeCell ref="A2:F2"/>
    <mergeCell ref="A1:F1"/>
    <mergeCell ref="E4:G4"/>
    <mergeCell ref="A35:C35"/>
    <mergeCell ref="A4:C4"/>
    <mergeCell ref="A21:F21"/>
    <mergeCell ref="A22:E22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7"/>
  <sheetViews>
    <sheetView topLeftCell="A13" workbookViewId="0"/>
  </sheetViews>
  <sheetFormatPr defaultRowHeight="15"/>
  <cols>
    <col min="1" max="1" width="34.28515625" customWidth="1"/>
    <col min="2" max="3" width="24.7109375" customWidth="1"/>
    <col min="5" max="5" width="34.28515625" customWidth="1"/>
    <col min="6" max="8" width="21" customWidth="1"/>
  </cols>
  <sheetData>
    <row r="1" spans="1:8" ht="15.75" customHeight="1">
      <c r="A1" s="94" t="s">
        <v>996</v>
      </c>
      <c r="B1" s="99"/>
      <c r="C1" s="99"/>
      <c r="D1" s="99"/>
      <c r="E1" s="99"/>
      <c r="F1" s="99"/>
      <c r="G1" s="99"/>
      <c r="H1" s="99"/>
    </row>
    <row r="2" spans="1:8">
      <c r="A2" s="99"/>
      <c r="B2" s="99"/>
      <c r="C2" s="99"/>
      <c r="D2" s="99"/>
      <c r="E2" s="99"/>
      <c r="F2" s="99"/>
      <c r="G2" s="99"/>
      <c r="H2" s="99"/>
    </row>
    <row r="3" spans="1:8">
      <c r="A3" s="95" t="s">
        <v>997</v>
      </c>
      <c r="B3" s="95" t="s">
        <v>998</v>
      </c>
      <c r="C3" s="95" t="s">
        <v>999</v>
      </c>
      <c r="D3" s="99"/>
      <c r="E3" s="99"/>
      <c r="F3" s="99"/>
      <c r="G3" s="99"/>
      <c r="H3" s="99"/>
    </row>
    <row r="4" spans="1:8">
      <c r="A4" s="99" t="s">
        <v>1000</v>
      </c>
      <c r="B4" s="115">
        <v>2378161.69</v>
      </c>
      <c r="C4" s="115">
        <v>2378161.69</v>
      </c>
      <c r="D4" s="99"/>
      <c r="E4" s="99"/>
      <c r="F4" s="99"/>
      <c r="G4" s="99"/>
      <c r="H4" s="99"/>
    </row>
    <row r="5" spans="1:8">
      <c r="A5" s="99" t="s">
        <v>1001</v>
      </c>
      <c r="B5" s="115">
        <v>0</v>
      </c>
      <c r="C5" s="115">
        <v>-237816.17</v>
      </c>
      <c r="D5" s="99"/>
      <c r="E5" s="99"/>
      <c r="F5" s="99"/>
      <c r="G5" s="99"/>
      <c r="H5" s="99"/>
    </row>
    <row r="6" spans="1:8">
      <c r="A6" s="99" t="s">
        <v>1002</v>
      </c>
      <c r="B6" s="115">
        <v>-1733138.97</v>
      </c>
      <c r="C6" s="115">
        <v>-1733138.97</v>
      </c>
      <c r="D6" s="99"/>
      <c r="E6" s="99"/>
      <c r="F6" s="99"/>
      <c r="G6" s="99"/>
      <c r="H6" s="99"/>
    </row>
    <row r="7" spans="1:8">
      <c r="A7" s="99" t="s">
        <v>25</v>
      </c>
      <c r="B7" s="115">
        <v>645022.71999999997</v>
      </c>
      <c r="C7" s="115">
        <v>407206.55</v>
      </c>
      <c r="D7" s="99"/>
      <c r="E7" s="99"/>
      <c r="F7" s="99"/>
      <c r="G7" s="99"/>
      <c r="H7" s="99"/>
    </row>
    <row r="8" spans="1:8">
      <c r="A8" s="99" t="s">
        <v>679</v>
      </c>
      <c r="B8" s="115">
        <v>-324312.5</v>
      </c>
      <c r="C8" s="115">
        <v>-254100</v>
      </c>
      <c r="D8" s="99"/>
      <c r="E8" s="99"/>
      <c r="F8" s="99"/>
      <c r="G8" s="99"/>
      <c r="H8" s="99"/>
    </row>
    <row r="9" spans="1:8">
      <c r="A9" s="99" t="s">
        <v>234</v>
      </c>
      <c r="B9" s="115">
        <v>320710.21999999997</v>
      </c>
      <c r="C9" s="115">
        <v>153106.54999999999</v>
      </c>
      <c r="D9" s="99"/>
      <c r="E9" s="99"/>
      <c r="F9" s="99"/>
      <c r="G9" s="99"/>
      <c r="H9" s="99"/>
    </row>
    <row r="10" spans="1:8">
      <c r="A10" s="99" t="s">
        <v>1003</v>
      </c>
      <c r="B10" s="115">
        <v>-85041.48</v>
      </c>
      <c r="C10" s="115">
        <v>-36745.57</v>
      </c>
      <c r="D10" s="99"/>
      <c r="E10" s="99"/>
      <c r="F10" s="99"/>
      <c r="G10" s="99"/>
      <c r="H10" s="99"/>
    </row>
    <row r="11" spans="1:8">
      <c r="A11" s="99" t="s">
        <v>1004</v>
      </c>
      <c r="B11" s="115">
        <v>235668.75</v>
      </c>
      <c r="C11" s="115">
        <v>116360.98</v>
      </c>
      <c r="D11" s="99"/>
      <c r="E11" s="99"/>
      <c r="F11" s="99"/>
      <c r="G11" s="99"/>
      <c r="H11" s="99"/>
    </row>
    <row r="12" spans="1:8">
      <c r="A12" s="99"/>
      <c r="B12" s="99"/>
      <c r="C12" s="99"/>
      <c r="D12" s="99"/>
      <c r="E12" s="99"/>
      <c r="F12" s="99"/>
      <c r="G12" s="99"/>
      <c r="H12" s="99"/>
    </row>
    <row r="13" spans="1:8">
      <c r="A13" s="99"/>
      <c r="B13" s="99"/>
      <c r="C13" s="99"/>
      <c r="D13" s="99"/>
      <c r="E13" s="99"/>
      <c r="F13" s="99"/>
      <c r="G13" s="99"/>
      <c r="H13" s="99"/>
    </row>
    <row r="14" spans="1:8" ht="15.75" customHeight="1">
      <c r="A14" s="94" t="s">
        <v>1005</v>
      </c>
      <c r="B14" s="99"/>
      <c r="C14" s="99"/>
      <c r="D14" s="99"/>
      <c r="E14" s="94" t="s">
        <v>1006</v>
      </c>
      <c r="F14" s="99"/>
      <c r="G14" s="99"/>
      <c r="H14" s="99"/>
    </row>
    <row r="15" spans="1:8">
      <c r="A15" s="99"/>
      <c r="B15" s="99"/>
      <c r="C15" s="99"/>
      <c r="D15" s="99"/>
      <c r="E15" s="99"/>
      <c r="F15" s="99"/>
      <c r="G15" s="99"/>
      <c r="H15" s="99"/>
    </row>
    <row r="16" spans="1:8">
      <c r="A16" s="95" t="s">
        <v>659</v>
      </c>
      <c r="B16" s="95" t="s">
        <v>998</v>
      </c>
      <c r="C16" s="95" t="s">
        <v>999</v>
      </c>
      <c r="D16" s="99"/>
      <c r="E16" s="95" t="s">
        <v>1007</v>
      </c>
      <c r="F16" s="95" t="s">
        <v>1008</v>
      </c>
      <c r="G16" s="95" t="s">
        <v>2</v>
      </c>
      <c r="H16" s="95" t="s">
        <v>1009</v>
      </c>
    </row>
    <row r="17" spans="1:8" ht="30" customHeight="1">
      <c r="A17" s="99">
        <v>2026</v>
      </c>
      <c r="B17" s="115">
        <v>-5274125</v>
      </c>
      <c r="C17" s="115">
        <v>-4572000</v>
      </c>
      <c r="D17" s="99"/>
      <c r="E17" s="99" t="s">
        <v>1010</v>
      </c>
      <c r="F17" s="115">
        <v>-1678052.61</v>
      </c>
      <c r="G17" s="96">
        <v>4.3200000000000002E-2</v>
      </c>
      <c r="H17" s="115">
        <v>438082.73</v>
      </c>
    </row>
    <row r="18" spans="1:8">
      <c r="A18" s="99">
        <v>2027</v>
      </c>
      <c r="B18" s="115">
        <v>-4714143.75</v>
      </c>
      <c r="C18" s="115">
        <v>-4201539.0199999996</v>
      </c>
      <c r="D18" s="99"/>
      <c r="E18" s="99" t="s">
        <v>1011</v>
      </c>
      <c r="F18" s="115">
        <v>-549382.41</v>
      </c>
      <c r="G18" s="96">
        <v>8.2500000000000004E-2</v>
      </c>
      <c r="H18" s="115">
        <v>645022.71999999997</v>
      </c>
    </row>
    <row r="19" spans="1:8" ht="30" customHeight="1">
      <c r="A19" s="99">
        <v>2028</v>
      </c>
      <c r="B19" s="115">
        <v>-4154162.5</v>
      </c>
      <c r="C19" s="115">
        <v>-3831078.04</v>
      </c>
      <c r="D19" s="99"/>
      <c r="E19" s="99" t="s">
        <v>1012</v>
      </c>
      <c r="F19" s="115">
        <v>-2606379.89</v>
      </c>
      <c r="G19" s="96">
        <v>-1.23E-2</v>
      </c>
      <c r="H19" s="115">
        <v>200266.56</v>
      </c>
    </row>
    <row r="20" spans="1:8">
      <c r="A20" s="99">
        <v>2029</v>
      </c>
      <c r="B20" s="115">
        <v>-3594181.26</v>
      </c>
      <c r="C20" s="115">
        <v>-3460617.06</v>
      </c>
      <c r="D20" s="99"/>
      <c r="E20" s="99" t="s">
        <v>1013</v>
      </c>
      <c r="F20" s="115">
        <v>-1315503.04</v>
      </c>
      <c r="G20" s="96">
        <v>4.9700000000000001E-2</v>
      </c>
      <c r="H20" s="115">
        <v>407206.55</v>
      </c>
    </row>
    <row r="21" spans="1:8">
      <c r="A21" s="99">
        <v>2030</v>
      </c>
      <c r="B21" s="115">
        <v>-3034200.01</v>
      </c>
      <c r="C21" s="115">
        <v>-3090156.07</v>
      </c>
      <c r="D21" s="99"/>
      <c r="E21" s="99"/>
      <c r="F21" s="99"/>
      <c r="G21" s="99"/>
      <c r="H21" s="99"/>
    </row>
    <row r="22" spans="1:8">
      <c r="A22" s="99">
        <v>2031</v>
      </c>
      <c r="B22" s="115">
        <v>-2474218.7599999998</v>
      </c>
      <c r="C22" s="115">
        <v>-2719695.09</v>
      </c>
      <c r="D22" s="99"/>
      <c r="E22" s="99"/>
      <c r="F22" s="99"/>
      <c r="G22" s="99"/>
      <c r="H22" s="99"/>
    </row>
    <row r="23" spans="1:8">
      <c r="A23" s="99">
        <v>2032</v>
      </c>
      <c r="B23" s="115">
        <v>-1914237.51</v>
      </c>
      <c r="C23" s="115">
        <v>-2349234.11</v>
      </c>
      <c r="D23" s="99"/>
      <c r="E23" s="99"/>
      <c r="F23" s="99"/>
      <c r="G23" s="99"/>
      <c r="H23" s="99"/>
    </row>
    <row r="24" spans="1:8">
      <c r="A24" s="99">
        <v>2033</v>
      </c>
      <c r="B24" s="115">
        <v>-1354256.27</v>
      </c>
      <c r="C24" s="115">
        <v>-1978773.13</v>
      </c>
      <c r="D24" s="99"/>
      <c r="E24" s="99"/>
      <c r="F24" s="99"/>
      <c r="G24" s="99"/>
      <c r="H24" s="99"/>
    </row>
    <row r="25" spans="1:8">
      <c r="A25" s="99">
        <v>2034</v>
      </c>
      <c r="B25" s="115">
        <v>-794275.02</v>
      </c>
      <c r="C25" s="115">
        <v>-1608312.15</v>
      </c>
      <c r="D25" s="99"/>
      <c r="E25" s="99"/>
      <c r="F25" s="99"/>
      <c r="G25" s="99"/>
      <c r="H25" s="99"/>
    </row>
    <row r="26" spans="1:8">
      <c r="A26" s="99">
        <v>2035</v>
      </c>
      <c r="B26" s="115">
        <v>-234293.77</v>
      </c>
      <c r="C26" s="115">
        <v>-1237851.17</v>
      </c>
      <c r="D26" s="99"/>
      <c r="E26" s="99"/>
      <c r="F26" s="99"/>
      <c r="G26" s="99"/>
      <c r="H26" s="99"/>
    </row>
    <row r="27" spans="1:8">
      <c r="A27" s="99">
        <v>2036</v>
      </c>
      <c r="B27" s="115">
        <v>325687.48</v>
      </c>
      <c r="C27" s="115">
        <v>-867390.19</v>
      </c>
      <c r="D27" s="99"/>
      <c r="E27" s="99"/>
      <c r="F27" s="99"/>
      <c r="G27" s="99"/>
      <c r="H27" s="99"/>
    </row>
    <row r="28" spans="1:8">
      <c r="A28" s="99">
        <v>2037</v>
      </c>
      <c r="B28" s="115">
        <v>844456.47</v>
      </c>
      <c r="C28" s="115">
        <v>-509169.2</v>
      </c>
      <c r="D28" s="99"/>
      <c r="E28" s="99"/>
      <c r="F28" s="99"/>
      <c r="G28" s="99"/>
      <c r="H28" s="99"/>
    </row>
    <row r="29" spans="1:8">
      <c r="A29" s="99">
        <v>2038</v>
      </c>
      <c r="B29" s="115">
        <v>1363225.47</v>
      </c>
      <c r="C29" s="115">
        <v>-150948.22</v>
      </c>
      <c r="D29" s="99"/>
      <c r="E29" s="99"/>
      <c r="F29" s="99"/>
      <c r="G29" s="99"/>
      <c r="H29" s="99"/>
    </row>
    <row r="30" spans="1:8">
      <c r="A30" s="99">
        <v>2039</v>
      </c>
      <c r="B30" s="115">
        <v>1881994.47</v>
      </c>
      <c r="C30" s="115">
        <v>207272.76</v>
      </c>
      <c r="D30" s="99"/>
      <c r="E30" s="99"/>
      <c r="F30" s="99"/>
      <c r="G30" s="99"/>
      <c r="H30" s="99"/>
    </row>
    <row r="31" spans="1:8">
      <c r="A31" s="99">
        <v>2040</v>
      </c>
      <c r="B31" s="115">
        <v>2400763.4700000002</v>
      </c>
      <c r="C31" s="115">
        <v>565493.74</v>
      </c>
      <c r="D31" s="99"/>
      <c r="E31" s="99"/>
      <c r="F31" s="99"/>
      <c r="G31" s="99"/>
      <c r="H31" s="99"/>
    </row>
    <row r="32" spans="1:8">
      <c r="A32" s="99">
        <v>2041</v>
      </c>
      <c r="B32" s="115">
        <v>2919532.46</v>
      </c>
      <c r="C32" s="115">
        <v>923714.72</v>
      </c>
      <c r="D32" s="99"/>
      <c r="E32" s="99"/>
      <c r="F32" s="99"/>
      <c r="G32" s="99"/>
      <c r="H32" s="99"/>
    </row>
    <row r="33" spans="1:8">
      <c r="A33" s="99">
        <v>2042</v>
      </c>
      <c r="B33" s="115">
        <v>3438301.46</v>
      </c>
      <c r="C33" s="115">
        <v>1281935.7</v>
      </c>
      <c r="D33" s="99"/>
      <c r="E33" s="99"/>
      <c r="F33" s="99"/>
      <c r="G33" s="99"/>
      <c r="H33" s="99"/>
    </row>
    <row r="34" spans="1:8">
      <c r="A34" s="99">
        <v>2043</v>
      </c>
      <c r="B34" s="115">
        <v>3957070.46</v>
      </c>
      <c r="C34" s="115">
        <v>1640156.69</v>
      </c>
      <c r="D34" s="99"/>
      <c r="E34" s="99"/>
      <c r="F34" s="99"/>
      <c r="G34" s="99"/>
      <c r="H34" s="99"/>
    </row>
    <row r="35" spans="1:8">
      <c r="A35" s="99">
        <v>2044</v>
      </c>
      <c r="B35" s="115">
        <v>4475839.46</v>
      </c>
      <c r="C35" s="115">
        <v>1998377.67</v>
      </c>
      <c r="D35" s="99"/>
      <c r="E35" s="99"/>
      <c r="F35" s="99"/>
      <c r="G35" s="99"/>
      <c r="H35" s="99"/>
    </row>
    <row r="36" spans="1:8">
      <c r="A36" s="99">
        <v>2045</v>
      </c>
      <c r="B36" s="115">
        <v>4994608.45</v>
      </c>
      <c r="C36" s="115">
        <v>2356598.65</v>
      </c>
      <c r="D36" s="99"/>
      <c r="E36" s="99"/>
      <c r="F36" s="99"/>
      <c r="G36" s="99"/>
      <c r="H36" s="99"/>
    </row>
    <row r="37" spans="1:8">
      <c r="A37" s="99">
        <v>2046</v>
      </c>
      <c r="B37" s="115">
        <v>5513377.4500000002</v>
      </c>
      <c r="C37" s="115">
        <v>2714819.63</v>
      </c>
      <c r="D37" s="99"/>
      <c r="E37" s="99"/>
      <c r="F37" s="99"/>
      <c r="G37" s="99"/>
      <c r="H37" s="99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CAPA</vt:lpstr>
      <vt:lpstr>INDICADORES</vt:lpstr>
      <vt:lpstr>GLOSSÁRIO</vt:lpstr>
      <vt:lpstr>PREMISSAS</vt:lpstr>
      <vt:lpstr>CÁLCULO</vt:lpstr>
      <vt:lpstr>CAPEX</vt:lpstr>
      <vt:lpstr>RECEITA</vt:lpstr>
      <vt:lpstr>TRIBUTAÇÃO</vt:lpstr>
      <vt:lpstr>OPEX</vt:lpstr>
      <vt:lpstr>DRE_FCL</vt:lpstr>
      <vt:lpstr>ENERGIA</vt:lpstr>
      <vt:lpstr>ANALISE_CEMIG</vt:lpstr>
      <vt:lpstr>Serviços Astra Carbon</vt:lpstr>
      <vt:lpstr>SENSIBILIDADE</vt:lpstr>
      <vt:lpstr>CENÁRIOS</vt:lpstr>
      <vt:lpstr>Dashboard</vt:lpstr>
      <vt:lpstr>GraficosV8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Gallo</cp:lastModifiedBy>
  <cp:revision>1</cp:revision>
  <dcterms:created xsi:type="dcterms:W3CDTF">2026-04-13T03:09:39Z</dcterms:created>
  <dcterms:modified xsi:type="dcterms:W3CDTF">2026-05-07T17:04:20Z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0x0101009A6AF6BB6C587E4180573B066A8AA521</vt:lpwstr>
  </property>
  <property fmtid="{D5CDD505-2E9C-101B-9397-08002B2CF9AE}" pid="3" name="MediaServiceImageTags">
    <vt:lpwstr/>
  </property>
</Properties>
</file>