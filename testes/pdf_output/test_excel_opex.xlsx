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DRE + Fluxo de Caixa" sheetId="3" state="visible" r:id="rId3"/>
    <sheet xmlns:r="http://schemas.openxmlformats.org/officeDocument/2006/relationships" name="Sensi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DC2626"/>
      <sz val="10"/>
    </font>
    <font>
      <name val="Calibri"/>
      <color rgb="0016A34A"/>
      <sz val="10"/>
    </font>
    <font>
      <name val="Calibri"/>
      <color rgb="00DC2626"/>
      <sz val="10"/>
    </font>
    <font>
      <name val="Calibri"/>
      <b val="1"/>
      <color rgb="001A3160"/>
      <sz val="10"/>
    </font>
    <font>
      <name val="Calibri"/>
      <b val="1"/>
      <color rgb="0016A34A"/>
      <sz val="10"/>
    </font>
  </fonts>
  <fills count="6">
    <fill>
      <patternFill/>
    </fill>
    <fill>
      <patternFill patternType="gray125"/>
    </fill>
    <fill>
      <patternFill patternType="solid">
        <fgColor rgb="001A3160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5" fillId="4" borderId="1" pivotButton="0" quotePrefix="0" xfId="0"/>
    <xf numFmtId="3" fontId="9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0" fontId="6" fillId="5" borderId="1" pivotButton="0" quotePrefix="0" xfId="0"/>
    <xf numFmtId="3" fontId="11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3" fontId="12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 ht="28" customHeight="1">
      <c r="A1" s="1" t="inlineStr">
        <is>
          <t>Co2mply — Premissas de Viabilidade | Projeto Teste OPEX | 23/06/2026</t>
        </is>
      </c>
    </row>
    <row r="2" ht="20" customHeight="1">
      <c r="A2" s="2" t="inlineStr">
        <is>
          <t>PRODUÇÃO</t>
        </is>
      </c>
    </row>
    <row r="3">
      <c r="A3" s="3" t="inlineStr">
        <is>
          <t>Feedstock (t/ano, base seca)</t>
        </is>
      </c>
      <c r="B3" s="4" t="n">
        <v>5000</v>
      </c>
    </row>
    <row r="4">
      <c r="A4" s="3" t="inlineStr">
        <is>
          <t>Rendimento de pirólise</t>
        </is>
      </c>
      <c r="B4" s="5" t="n">
        <v>0.28</v>
      </c>
    </row>
    <row r="5">
      <c r="A5" s="3" t="inlineStr">
        <is>
          <t>Fator de carbono (tCO₂/t biochar)</t>
        </is>
      </c>
      <c r="B5" s="6" t="n">
        <v>2.72</v>
      </c>
    </row>
    <row r="6">
      <c r="A6" s="3" t="inlineStr">
        <is>
          <t>Biochar produzido (t/ano)</t>
        </is>
      </c>
      <c r="B6" s="4" t="n">
        <v>1400</v>
      </c>
    </row>
    <row r="7">
      <c r="A7" s="3" t="inlineStr">
        <is>
          <t>Créditos gerados (tCO₂e/ano)</t>
        </is>
      </c>
      <c r="B7" s="4" t="n">
        <v>3808</v>
      </c>
    </row>
    <row r="8" ht="20" customHeight="1">
      <c r="A8" s="2" t="inlineStr">
        <is>
          <t>RECEITAS</t>
        </is>
      </c>
    </row>
    <row r="9">
      <c r="A9" s="3" t="inlineStr">
        <is>
          <t>Preço crédito (USD/tCO₂e)</t>
        </is>
      </c>
      <c r="B9" s="7" t="n">
        <v>120</v>
      </c>
    </row>
    <row r="10">
      <c r="A10" s="3" t="inlineStr">
        <is>
          <t>Câmbio USD → BRL</t>
        </is>
      </c>
      <c r="B10" s="6" t="n">
        <v>5.7</v>
      </c>
    </row>
    <row r="11">
      <c r="A11" s="3" t="inlineStr">
        <is>
          <t>Preço biochar (R$/t)</t>
        </is>
      </c>
      <c r="B11" s="4" t="n">
        <v>0</v>
      </c>
    </row>
    <row r="12">
      <c r="A12" s="3" t="inlineStr">
        <is>
          <t>Receita bruta ano 1 (R$)</t>
        </is>
      </c>
      <c r="B12" s="4" t="n">
        <v>2604672</v>
      </c>
    </row>
    <row r="13" ht="20" customHeight="1">
      <c r="A13" s="2" t="inlineStr">
        <is>
          <t>CUSTOS</t>
        </is>
      </c>
    </row>
    <row r="14">
      <c r="A14" s="3" t="inlineStr">
        <is>
          <t>CAPEX total (R$)</t>
        </is>
      </c>
      <c r="B14" s="4" t="n">
        <v>5500000</v>
      </c>
    </row>
    <row r="15">
      <c r="A15" s="3" t="inlineStr">
        <is>
          <t>OPEX anual (R$)</t>
        </is>
      </c>
      <c r="B15" s="4" t="n">
        <v>1800000</v>
      </c>
    </row>
    <row r="16">
      <c r="A16" s="3" t="inlineStr">
        <is>
          <t>Depreciação anual (R$)</t>
        </is>
      </c>
      <c r="B16" s="4" t="n">
        <v>275000</v>
      </c>
    </row>
    <row r="17">
      <c r="A17" s="3" t="inlineStr">
        <is>
          <t>EBITDA ano 1 (R$)</t>
        </is>
      </c>
      <c r="B17" s="4" t="n">
        <v>804672</v>
      </c>
    </row>
    <row r="18" ht="20" customHeight="1">
      <c r="A18" s="2" t="inlineStr">
        <is>
          <t>FINANCEIRO</t>
        </is>
      </c>
    </row>
    <row r="19">
      <c r="A19" s="3" t="inlineStr">
        <is>
          <t>WACC / Taxa de desconto</t>
        </is>
      </c>
      <c r="B19" s="5" t="n">
        <v>0.12</v>
      </c>
    </row>
    <row r="20">
      <c r="A20" s="3" t="inlineStr">
        <is>
          <t>Alíquota efetiva de IR</t>
        </is>
      </c>
      <c r="B20" s="5" t="n">
        <v>0.2</v>
      </c>
    </row>
    <row r="21">
      <c r="A21" s="3" t="inlineStr">
        <is>
          <t>Horizonte (anos)</t>
        </is>
      </c>
      <c r="B21" s="6" t="n">
        <v>20</v>
      </c>
    </row>
    <row r="22">
      <c r="A22" s="3" t="inlineStr">
        <is>
          <t>Ano de investimento</t>
        </is>
      </c>
      <c r="B22" s="6" t="n">
        <v>2026</v>
      </c>
    </row>
    <row r="23">
      <c r="A23" s="3" t="inlineStr">
        <is>
          <t>Moeda do projeto</t>
        </is>
      </c>
      <c r="B23" s="6" t="inlineStr">
        <is>
          <t>BRL</t>
        </is>
      </c>
    </row>
  </sheetData>
  <mergeCells count="5">
    <mergeCell ref="A2:B2"/>
    <mergeCell ref="A13:B13"/>
    <mergeCell ref="A1:B1"/>
    <mergeCell ref="A18:B1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28" customHeight="1">
      <c r="A1" s="8" t="inlineStr">
        <is>
          <t>INDICADORES FINANCEIROS</t>
        </is>
      </c>
    </row>
    <row r="2">
      <c r="A2" s="9" t="inlineStr">
        <is>
          <t>TIR (IRR)</t>
        </is>
      </c>
      <c r="B2" s="10" t="inlineStr">
        <is>
          <t>11.2%</t>
        </is>
      </c>
    </row>
    <row r="3">
      <c r="A3" s="9" t="inlineStr">
        <is>
          <t>VPL (R$)</t>
        </is>
      </c>
      <c r="B3" s="10" t="inlineStr">
        <is>
          <t>R$ -280,819</t>
        </is>
      </c>
    </row>
    <row r="4">
      <c r="A4" s="9" t="inlineStr">
        <is>
          <t>Payback</t>
        </is>
      </c>
      <c r="B4" s="10" t="inlineStr">
        <is>
          <t>2034</t>
        </is>
      </c>
    </row>
    <row r="5">
      <c r="A5" s="9" t="inlineStr">
        <is>
          <t>EBITDA Ano 1 (R$)</t>
        </is>
      </c>
      <c r="B5" s="10" t="inlineStr">
        <is>
          <t>R$ 804,672</t>
        </is>
      </c>
    </row>
    <row r="6">
      <c r="A6" s="9" t="inlineStr">
        <is>
          <t>Margem EBITDA Ano 1</t>
        </is>
      </c>
      <c r="B6" s="10" t="inlineStr">
        <is>
          <t>30.9%</t>
        </is>
      </c>
    </row>
    <row r="7">
      <c r="A7" s="9" t="inlineStr">
        <is>
          <t>—</t>
        </is>
      </c>
      <c r="B7" s="10" t="inlineStr">
        <is>
          <t>—</t>
        </is>
      </c>
    </row>
    <row r="8">
      <c r="A8" s="11" t="inlineStr">
        <is>
          <t>ADICIONALIDADE FINANCEIRA</t>
        </is>
      </c>
      <c r="B8" s="10" t="inlineStr"/>
    </row>
    <row r="9">
      <c r="A9" s="9" t="inlineStr">
        <is>
          <t>TIR sem receita de carbono</t>
        </is>
      </c>
      <c r="B9" s="10" t="inlineStr">
        <is>
          <t>Inviável (IRR &lt; 0)</t>
        </is>
      </c>
    </row>
    <row r="10">
      <c r="A10" s="9" t="inlineStr">
        <is>
          <t>Adicionalidade confirmada?</t>
        </is>
      </c>
      <c r="B10" s="10" t="inlineStr">
        <is>
          <t>✓ SIM</t>
        </is>
      </c>
    </row>
    <row r="11">
      <c r="A11" s="9" t="inlineStr">
        <is>
          <t>—</t>
        </is>
      </c>
      <c r="B11" s="10" t="inlineStr">
        <is>
          <t>—</t>
        </is>
      </c>
    </row>
    <row r="12">
      <c r="A12" s="9" t="inlineStr">
        <is>
          <t>Break-even (USD/tCO₂)</t>
        </is>
      </c>
      <c r="B12" s="10" t="inlineStr">
        <is>
          <t>$ 122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4" customHeight="1">
      <c r="A1" s="12" t="inlineStr">
        <is>
          <t>DRE E FLUXO DE CAIXA LIVRE — 20 ANOS (BRL)</t>
        </is>
      </c>
    </row>
    <row r="2">
      <c r="A2" s="13" t="inlineStr"/>
      <c r="B2" s="13" t="inlineStr">
        <is>
          <t>2027</t>
        </is>
      </c>
      <c r="C2" s="13" t="inlineStr">
        <is>
          <t>2028</t>
        </is>
      </c>
      <c r="D2" s="13" t="inlineStr">
        <is>
          <t>2029</t>
        </is>
      </c>
      <c r="E2" s="13" t="inlineStr">
        <is>
          <t>2030</t>
        </is>
      </c>
      <c r="F2" s="13" t="inlineStr">
        <is>
          <t>2031</t>
        </is>
      </c>
      <c r="G2" s="13" t="inlineStr">
        <is>
          <t>2032</t>
        </is>
      </c>
      <c r="H2" s="13" t="inlineStr">
        <is>
          <t>2033</t>
        </is>
      </c>
      <c r="I2" s="13" t="inlineStr">
        <is>
          <t>2034</t>
        </is>
      </c>
      <c r="J2" s="13" t="inlineStr">
        <is>
          <t>2035</t>
        </is>
      </c>
      <c r="K2" s="13" t="inlineStr">
        <is>
          <t>2036</t>
        </is>
      </c>
      <c r="L2" s="13" t="inlineStr">
        <is>
          <t>2037</t>
        </is>
      </c>
      <c r="M2" s="13" t="inlineStr">
        <is>
          <t>2038</t>
        </is>
      </c>
      <c r="N2" s="13" t="inlineStr">
        <is>
          <t>2039</t>
        </is>
      </c>
      <c r="O2" s="13" t="inlineStr">
        <is>
          <t>2040</t>
        </is>
      </c>
      <c r="P2" s="13" t="inlineStr">
        <is>
          <t>2041</t>
        </is>
      </c>
      <c r="Q2" s="13" t="inlineStr">
        <is>
          <t>2042</t>
        </is>
      </c>
      <c r="R2" s="13" t="inlineStr">
        <is>
          <t>2043</t>
        </is>
      </c>
      <c r="S2" s="13" t="inlineStr">
        <is>
          <t>2044</t>
        </is>
      </c>
      <c r="T2" s="13" t="inlineStr">
        <is>
          <t>2045</t>
        </is>
      </c>
      <c r="U2" s="13" t="inlineStr">
        <is>
          <t>2046</t>
        </is>
      </c>
    </row>
    <row r="3">
      <c r="A3" s="14" t="inlineStr">
        <is>
          <t>(-) CAPEX</t>
        </is>
      </c>
      <c r="B3" s="15" t="n">
        <v>-5500000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</row>
    <row r="4">
      <c r="A4" s="17" t="inlineStr">
        <is>
          <t>Receita Bruta</t>
        </is>
      </c>
      <c r="B4" s="18" t="n">
        <v>2604672</v>
      </c>
      <c r="C4" s="18" t="n">
        <v>2604672</v>
      </c>
      <c r="D4" s="18" t="n">
        <v>2604672</v>
      </c>
      <c r="E4" s="18" t="n">
        <v>2604672</v>
      </c>
      <c r="F4" s="18" t="n">
        <v>2604672</v>
      </c>
      <c r="G4" s="18" t="n">
        <v>2604672</v>
      </c>
      <c r="H4" s="18" t="n">
        <v>2604672</v>
      </c>
      <c r="I4" s="18" t="n">
        <v>2604672</v>
      </c>
      <c r="J4" s="18" t="n">
        <v>2604672</v>
      </c>
      <c r="K4" s="18" t="n">
        <v>2604672</v>
      </c>
      <c r="L4" s="18" t="n">
        <v>2604672</v>
      </c>
      <c r="M4" s="18" t="n">
        <v>2604672</v>
      </c>
      <c r="N4" s="18" t="n">
        <v>2604672</v>
      </c>
      <c r="O4" s="18" t="n">
        <v>2604672</v>
      </c>
      <c r="P4" s="18" t="n">
        <v>2604672</v>
      </c>
      <c r="Q4" s="18" t="n">
        <v>2604672</v>
      </c>
      <c r="R4" s="18" t="n">
        <v>2604672</v>
      </c>
      <c r="S4" s="18" t="n">
        <v>2604672</v>
      </c>
      <c r="T4" s="18" t="n">
        <v>2604672</v>
      </c>
      <c r="U4" s="18" t="n">
        <v>2604672</v>
      </c>
    </row>
    <row r="5">
      <c r="A5" s="17" t="inlineStr">
        <is>
          <t>(-) OPEX</t>
        </is>
      </c>
      <c r="B5" s="19" t="n">
        <v>-1800000</v>
      </c>
      <c r="C5" s="19" t="n">
        <v>-1800000</v>
      </c>
      <c r="D5" s="19" t="n">
        <v>-1800000</v>
      </c>
      <c r="E5" s="19" t="n">
        <v>-1800000</v>
      </c>
      <c r="F5" s="19" t="n">
        <v>-1800000</v>
      </c>
      <c r="G5" s="19" t="n">
        <v>-1800000</v>
      </c>
      <c r="H5" s="19" t="n">
        <v>-1800000</v>
      </c>
      <c r="I5" s="19" t="n">
        <v>-1800000</v>
      </c>
      <c r="J5" s="19" t="n">
        <v>-1800000</v>
      </c>
      <c r="K5" s="19" t="n">
        <v>-1800000</v>
      </c>
      <c r="L5" s="19" t="n">
        <v>-1800000</v>
      </c>
      <c r="M5" s="19" t="n">
        <v>-1800000</v>
      </c>
      <c r="N5" s="19" t="n">
        <v>-1800000</v>
      </c>
      <c r="O5" s="19" t="n">
        <v>-1800000</v>
      </c>
      <c r="P5" s="19" t="n">
        <v>-1800000</v>
      </c>
      <c r="Q5" s="19" t="n">
        <v>-1800000</v>
      </c>
      <c r="R5" s="19" t="n">
        <v>-1800000</v>
      </c>
      <c r="S5" s="19" t="n">
        <v>-1800000</v>
      </c>
      <c r="T5" s="19" t="n">
        <v>-1800000</v>
      </c>
      <c r="U5" s="19" t="n">
        <v>-1800000</v>
      </c>
    </row>
    <row r="6">
      <c r="A6" s="20">
        <f> EBITDA</f>
        <v/>
      </c>
      <c r="B6" s="21" t="n">
        <v>804672</v>
      </c>
      <c r="C6" s="21" t="n">
        <v>804672</v>
      </c>
      <c r="D6" s="21" t="n">
        <v>804672</v>
      </c>
      <c r="E6" s="21" t="n">
        <v>804672</v>
      </c>
      <c r="F6" s="21" t="n">
        <v>804672</v>
      </c>
      <c r="G6" s="21" t="n">
        <v>804672</v>
      </c>
      <c r="H6" s="21" t="n">
        <v>804672</v>
      </c>
      <c r="I6" s="21" t="n">
        <v>804672</v>
      </c>
      <c r="J6" s="21" t="n">
        <v>804672</v>
      </c>
      <c r="K6" s="21" t="n">
        <v>804672</v>
      </c>
      <c r="L6" s="21" t="n">
        <v>804672</v>
      </c>
      <c r="M6" s="21" t="n">
        <v>804672</v>
      </c>
      <c r="N6" s="21" t="n">
        <v>804672</v>
      </c>
      <c r="O6" s="21" t="n">
        <v>804672</v>
      </c>
      <c r="P6" s="21" t="n">
        <v>804672</v>
      </c>
      <c r="Q6" s="21" t="n">
        <v>804672</v>
      </c>
      <c r="R6" s="21" t="n">
        <v>804672</v>
      </c>
      <c r="S6" s="21" t="n">
        <v>804672</v>
      </c>
      <c r="T6" s="21" t="n">
        <v>804672</v>
      </c>
      <c r="U6" s="21" t="n">
        <v>804672</v>
      </c>
    </row>
    <row r="7">
      <c r="A7" s="17" t="inlineStr">
        <is>
          <t>(-) Depreciação</t>
        </is>
      </c>
      <c r="B7" s="19" t="n">
        <v>-275000</v>
      </c>
      <c r="C7" s="19" t="n">
        <v>-275000</v>
      </c>
      <c r="D7" s="19" t="n">
        <v>-275000</v>
      </c>
      <c r="E7" s="19" t="n">
        <v>-275000</v>
      </c>
      <c r="F7" s="19" t="n">
        <v>-275000</v>
      </c>
      <c r="G7" s="19" t="n">
        <v>-275000</v>
      </c>
      <c r="H7" s="19" t="n">
        <v>-275000</v>
      </c>
      <c r="I7" s="19" t="n">
        <v>-275000</v>
      </c>
      <c r="J7" s="19" t="n">
        <v>-275000</v>
      </c>
      <c r="K7" s="19" t="n">
        <v>-275000</v>
      </c>
      <c r="L7" s="19" t="n">
        <v>-275000</v>
      </c>
      <c r="M7" s="19" t="n">
        <v>-275000</v>
      </c>
      <c r="N7" s="19" t="n">
        <v>-275000</v>
      </c>
      <c r="O7" s="19" t="n">
        <v>-275000</v>
      </c>
      <c r="P7" s="19" t="n">
        <v>-275000</v>
      </c>
      <c r="Q7" s="19" t="n">
        <v>-275000</v>
      </c>
      <c r="R7" s="19" t="n">
        <v>-275000</v>
      </c>
      <c r="S7" s="19" t="n">
        <v>-275000</v>
      </c>
      <c r="T7" s="19" t="n">
        <v>-275000</v>
      </c>
      <c r="U7" s="19" t="n">
        <v>-275000</v>
      </c>
    </row>
    <row r="8">
      <c r="A8" s="20">
        <f> EBIT</f>
        <v/>
      </c>
      <c r="B8" s="21" t="n">
        <v>529672</v>
      </c>
      <c r="C8" s="21" t="n">
        <v>529672</v>
      </c>
      <c r="D8" s="21" t="n">
        <v>529672</v>
      </c>
      <c r="E8" s="21" t="n">
        <v>529672</v>
      </c>
      <c r="F8" s="21" t="n">
        <v>529672</v>
      </c>
      <c r="G8" s="21" t="n">
        <v>529672</v>
      </c>
      <c r="H8" s="21" t="n">
        <v>529672</v>
      </c>
      <c r="I8" s="21" t="n">
        <v>529672</v>
      </c>
      <c r="J8" s="21" t="n">
        <v>529672</v>
      </c>
      <c r="K8" s="21" t="n">
        <v>529672</v>
      </c>
      <c r="L8" s="21" t="n">
        <v>529672</v>
      </c>
      <c r="M8" s="21" t="n">
        <v>529672</v>
      </c>
      <c r="N8" s="21" t="n">
        <v>529672</v>
      </c>
      <c r="O8" s="21" t="n">
        <v>529672</v>
      </c>
      <c r="P8" s="21" t="n">
        <v>529672</v>
      </c>
      <c r="Q8" s="21" t="n">
        <v>529672</v>
      </c>
      <c r="R8" s="21" t="n">
        <v>529672</v>
      </c>
      <c r="S8" s="21" t="n">
        <v>529672</v>
      </c>
      <c r="T8" s="21" t="n">
        <v>529672</v>
      </c>
      <c r="U8" s="21" t="n">
        <v>529672</v>
      </c>
    </row>
    <row r="9">
      <c r="A9" s="17" t="inlineStr">
        <is>
          <t>(-) Impostos</t>
        </is>
      </c>
      <c r="B9" s="19" t="n">
        <v>-105934</v>
      </c>
      <c r="C9" s="19" t="n">
        <v>-105934</v>
      </c>
      <c r="D9" s="19" t="n">
        <v>-105934</v>
      </c>
      <c r="E9" s="19" t="n">
        <v>-105934</v>
      </c>
      <c r="F9" s="19" t="n">
        <v>-105934</v>
      </c>
      <c r="G9" s="19" t="n">
        <v>-105934</v>
      </c>
      <c r="H9" s="19" t="n">
        <v>-105934</v>
      </c>
      <c r="I9" s="19" t="n">
        <v>-105934</v>
      </c>
      <c r="J9" s="19" t="n">
        <v>-105934</v>
      </c>
      <c r="K9" s="19" t="n">
        <v>-105934</v>
      </c>
      <c r="L9" s="19" t="n">
        <v>-105934</v>
      </c>
      <c r="M9" s="19" t="n">
        <v>-105934</v>
      </c>
      <c r="N9" s="19" t="n">
        <v>-105934</v>
      </c>
      <c r="O9" s="19" t="n">
        <v>-105934</v>
      </c>
      <c r="P9" s="19" t="n">
        <v>-105934</v>
      </c>
      <c r="Q9" s="19" t="n">
        <v>-105934</v>
      </c>
      <c r="R9" s="19" t="n">
        <v>-105934</v>
      </c>
      <c r="S9" s="19" t="n">
        <v>-105934</v>
      </c>
      <c r="T9" s="19" t="n">
        <v>-105934</v>
      </c>
      <c r="U9" s="19" t="n">
        <v>-105934</v>
      </c>
    </row>
    <row r="10">
      <c r="A10" s="20">
        <f> FCL Anual</f>
        <v/>
      </c>
      <c r="B10" s="21" t="n">
        <v>698738</v>
      </c>
      <c r="C10" s="21" t="n">
        <v>698738</v>
      </c>
      <c r="D10" s="21" t="n">
        <v>698738</v>
      </c>
      <c r="E10" s="21" t="n">
        <v>698738</v>
      </c>
      <c r="F10" s="21" t="n">
        <v>698738</v>
      </c>
      <c r="G10" s="21" t="n">
        <v>698738</v>
      </c>
      <c r="H10" s="21" t="n">
        <v>698738</v>
      </c>
      <c r="I10" s="21" t="n">
        <v>698738</v>
      </c>
      <c r="J10" s="21" t="n">
        <v>698738</v>
      </c>
      <c r="K10" s="21" t="n">
        <v>698738</v>
      </c>
      <c r="L10" s="21" t="n">
        <v>698738</v>
      </c>
      <c r="M10" s="21" t="n">
        <v>698738</v>
      </c>
      <c r="N10" s="21" t="n">
        <v>698738</v>
      </c>
      <c r="O10" s="21" t="n">
        <v>698738</v>
      </c>
      <c r="P10" s="21" t="n">
        <v>698738</v>
      </c>
      <c r="Q10" s="21" t="n">
        <v>698738</v>
      </c>
      <c r="R10" s="21" t="n">
        <v>698738</v>
      </c>
      <c r="S10" s="21" t="n">
        <v>698738</v>
      </c>
      <c r="T10" s="21" t="n">
        <v>698738</v>
      </c>
      <c r="U10" s="21" t="n">
        <v>698738</v>
      </c>
    </row>
    <row r="11">
      <c r="A11" s="22" t="inlineStr">
        <is>
          <t>FCL Acumulado</t>
        </is>
      </c>
      <c r="B11" s="15" t="n">
        <v>-5500000</v>
      </c>
      <c r="C11" s="15" t="n">
        <v>-4801262</v>
      </c>
      <c r="D11" s="15" t="n">
        <v>-4102525</v>
      </c>
      <c r="E11" s="15" t="n">
        <v>-3403787</v>
      </c>
      <c r="F11" s="15" t="n">
        <v>-2705050</v>
      </c>
      <c r="G11" s="15" t="n">
        <v>-2006312</v>
      </c>
      <c r="H11" s="15" t="n">
        <v>-1307574</v>
      </c>
      <c r="I11" s="15" t="n">
        <v>-608837</v>
      </c>
      <c r="J11" s="23" t="n">
        <v>89901</v>
      </c>
      <c r="K11" s="23" t="n">
        <v>788638</v>
      </c>
      <c r="L11" s="23" t="n">
        <v>1487376</v>
      </c>
      <c r="M11" s="23" t="n">
        <v>2186114</v>
      </c>
      <c r="N11" s="23" t="n">
        <v>2884851</v>
      </c>
      <c r="O11" s="23" t="n">
        <v>3583589</v>
      </c>
      <c r="P11" s="23" t="n">
        <v>4282326</v>
      </c>
      <c r="Q11" s="23" t="n">
        <v>4981064</v>
      </c>
      <c r="R11" s="23" t="n">
        <v>5679802</v>
      </c>
      <c r="S11" s="23" t="n">
        <v>6378539</v>
      </c>
      <c r="T11" s="23" t="n">
        <v>7077277</v>
      </c>
      <c r="U11" s="23" t="n">
        <v>7776014</v>
      </c>
      <c r="V11" s="23" t="n">
        <v>8474752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2" t="inlineStr">
        <is>
          <t>SENSIBILIDADE — Preço do Crédito × TIR / VPL</t>
        </is>
      </c>
    </row>
    <row r="2">
      <c r="A2" s="13" t="inlineStr">
        <is>
          <t>Preço Crédito (USD)</t>
        </is>
      </c>
      <c r="B2" s="13" t="inlineStr">
        <is>
          <t>TIR (%)</t>
        </is>
      </c>
      <c r="C2" s="13" t="inlineStr">
        <is>
          <t>VPL (BRL)</t>
        </is>
      </c>
    </row>
    <row r="3">
      <c r="A3" s="24" t="n">
        <v>30</v>
      </c>
      <c r="B3" s="25" t="n"/>
      <c r="C3" s="19" t="n">
        <v>-14081136</v>
      </c>
    </row>
    <row r="4">
      <c r="A4" s="24" t="n">
        <v>40</v>
      </c>
      <c r="B4" s="25" t="n"/>
      <c r="C4" s="19" t="n">
        <v>-12459848</v>
      </c>
    </row>
    <row r="5">
      <c r="A5" s="24" t="n">
        <v>50</v>
      </c>
      <c r="B5" s="25" t="n"/>
      <c r="C5" s="19" t="n">
        <v>-10838561</v>
      </c>
    </row>
    <row r="6">
      <c r="A6" s="24" t="n">
        <v>60</v>
      </c>
      <c r="B6" s="25" t="n"/>
      <c r="C6" s="19" t="n">
        <v>-9217273</v>
      </c>
    </row>
    <row r="7">
      <c r="A7" s="24" t="n">
        <v>70</v>
      </c>
      <c r="B7" s="25" t="n"/>
      <c r="C7" s="19" t="n">
        <v>-7595986</v>
      </c>
    </row>
    <row r="8">
      <c r="A8" s="24" t="n">
        <v>80</v>
      </c>
      <c r="B8" s="25" t="n"/>
      <c r="C8" s="19" t="n">
        <v>-5974698</v>
      </c>
    </row>
    <row r="9">
      <c r="A9" s="24" t="n">
        <v>90</v>
      </c>
      <c r="B9" s="26" t="n">
        <v>-5.01</v>
      </c>
      <c r="C9" s="19" t="n">
        <v>-4353411</v>
      </c>
    </row>
    <row r="10">
      <c r="A10" s="24" t="n">
        <v>100</v>
      </c>
      <c r="B10" s="26" t="n">
        <v>2.46</v>
      </c>
      <c r="C10" s="19" t="n">
        <v>-2874879</v>
      </c>
    </row>
    <row r="11">
      <c r="A11" s="24" t="n">
        <v>110</v>
      </c>
      <c r="B11" s="26" t="n">
        <v>7.15</v>
      </c>
      <c r="C11" s="19" t="n">
        <v>-1577849</v>
      </c>
    </row>
    <row r="12">
      <c r="A12" s="24" t="n">
        <v>120</v>
      </c>
      <c r="B12" s="26" t="n">
        <v>11.18</v>
      </c>
      <c r="C12" s="19" t="n">
        <v>-280819</v>
      </c>
    </row>
    <row r="13">
      <c r="A13" s="24" t="n">
        <v>130</v>
      </c>
      <c r="B13" s="27" t="n">
        <v>14.87</v>
      </c>
      <c r="C13" s="18" t="n">
        <v>1016211</v>
      </c>
    </row>
    <row r="14">
      <c r="A14" s="24" t="n">
        <v>140</v>
      </c>
      <c r="B14" s="27" t="n">
        <v>18.37</v>
      </c>
      <c r="C14" s="18" t="n">
        <v>2313241</v>
      </c>
    </row>
    <row r="15">
      <c r="A15" s="24" t="n">
        <v>150</v>
      </c>
      <c r="B15" s="27" t="n">
        <v>21.74</v>
      </c>
      <c r="C15" s="18" t="n">
        <v>3610271</v>
      </c>
    </row>
    <row r="16">
      <c r="A16" s="24" t="n">
        <v>160</v>
      </c>
      <c r="B16" s="27" t="n">
        <v>25.04</v>
      </c>
      <c r="C16" s="18" t="n">
        <v>4907301</v>
      </c>
    </row>
    <row r="17">
      <c r="A17" s="24" t="n">
        <v>170</v>
      </c>
      <c r="B17" s="27" t="n">
        <v>28.3</v>
      </c>
      <c r="C17" s="18" t="n">
        <v>6204331</v>
      </c>
    </row>
    <row r="18">
      <c r="A18" s="24" t="n">
        <v>180</v>
      </c>
      <c r="B18" s="27" t="n">
        <v>31.52</v>
      </c>
      <c r="C18" s="18" t="n">
        <v>7501361</v>
      </c>
    </row>
    <row r="19">
      <c r="A19" s="24" t="n">
        <v>190</v>
      </c>
      <c r="B19" s="27" t="n">
        <v>34.71</v>
      </c>
      <c r="C19" s="18" t="n">
        <v>8798391</v>
      </c>
    </row>
    <row r="20">
      <c r="A20" s="24" t="n">
        <v>200</v>
      </c>
      <c r="B20" s="27" t="n">
        <v>37.9</v>
      </c>
      <c r="C20" s="18" t="n">
        <v>10095421</v>
      </c>
    </row>
    <row r="21">
      <c r="A21" s="24" t="n">
        <v>210</v>
      </c>
      <c r="B21" s="27" t="n">
        <v>41.08</v>
      </c>
      <c r="C21" s="18" t="n">
        <v>11392452</v>
      </c>
    </row>
    <row r="22">
      <c r="A22" s="24" t="n">
        <v>220</v>
      </c>
      <c r="B22" s="27" t="n">
        <v>44.25</v>
      </c>
      <c r="C22" s="18" t="n">
        <v>12689482</v>
      </c>
    </row>
    <row r="23">
      <c r="A23" s="24" t="n">
        <v>230</v>
      </c>
      <c r="B23" s="27" t="n">
        <v>47.41</v>
      </c>
      <c r="C23" s="18" t="n">
        <v>13986512</v>
      </c>
    </row>
    <row r="24">
      <c r="A24" s="24" t="n">
        <v>240</v>
      </c>
      <c r="B24" s="27" t="n">
        <v>50.58</v>
      </c>
      <c r="C24" s="18" t="n">
        <v>15283542</v>
      </c>
    </row>
    <row r="25">
      <c r="A25" s="24" t="n">
        <v>250</v>
      </c>
      <c r="B25" s="27" t="n">
        <v>53.74</v>
      </c>
      <c r="C25" s="18" t="n">
        <v>16580572</v>
      </c>
    </row>
    <row r="26">
      <c r="A26" s="24" t="n">
        <v>260</v>
      </c>
      <c r="B26" s="27" t="n">
        <v>56.9</v>
      </c>
      <c r="C26" s="18" t="n">
        <v>17877602</v>
      </c>
    </row>
    <row r="27">
      <c r="A27" s="24" t="n">
        <v>270</v>
      </c>
      <c r="B27" s="27" t="n">
        <v>60.06</v>
      </c>
      <c r="C27" s="18" t="n">
        <v>19174632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2026-06-23T12:31:26Z</dcterms:created>
  <dcterms:modified xmlns:dcterms="http://purl.org/dc/terms/" xmlns:xsi="http://www.w3.org/2001/XMLSchema-instance" xsi:type="dcterms:W3CDTF">2026-06-23T12:31:26Z</dcterms:modified>
</cp:coreProperties>
</file>